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hmad\Desktop\"/>
    </mc:Choice>
  </mc:AlternateContent>
  <xr:revisionPtr revIDLastSave="0" documentId="13_ncr:1_{3887C34A-65B8-46CA-B9F6-D9DA8F10C29B}" xr6:coauthVersionLast="47" xr6:coauthVersionMax="47" xr10:uidLastSave="{00000000-0000-0000-0000-000000000000}"/>
  <bookViews>
    <workbookView xWindow="-108" yWindow="-108" windowWidth="23256" windowHeight="12456" activeTab="1" xr2:uid="{365CDBA3-EEA1-41B5-B366-43BB34F72012}"/>
  </bookViews>
  <sheets>
    <sheet name="العاملين الأمانة العامة" sheetId="1" r:id="rId1"/>
    <sheet name="احصائية 1" sheetId="3" r:id="rId2"/>
    <sheet name="احصائية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5" i="4" s="1"/>
  <c r="G14" i="3"/>
  <c r="G17" i="3" s="1"/>
  <c r="F14" i="3"/>
  <c r="E14" i="3"/>
  <c r="G3" i="3"/>
  <c r="H15" i="3"/>
  <c r="H5" i="3"/>
  <c r="H3" i="3"/>
  <c r="E5" i="4"/>
  <c r="G9" i="4"/>
  <c r="G16" i="4"/>
  <c r="G15" i="3"/>
  <c r="G5" i="4" s="1"/>
  <c r="D16" i="3"/>
  <c r="D15" i="3"/>
  <c r="G15" i="4"/>
  <c r="F15" i="4"/>
  <c r="E16" i="4"/>
  <c r="E15" i="4"/>
  <c r="G8" i="3"/>
  <c r="G10" i="4" s="1"/>
  <c r="D3" i="3"/>
  <c r="G6" i="3"/>
  <c r="G8" i="4" s="1"/>
  <c r="G5" i="3"/>
  <c r="G7" i="4" s="1"/>
  <c r="F6" i="3"/>
  <c r="F8" i="4" s="1"/>
  <c r="F5" i="3"/>
  <c r="F7" i="4" s="1"/>
  <c r="D6" i="3"/>
  <c r="D8" i="4" s="1"/>
  <c r="D5" i="3"/>
  <c r="D7" i="4" s="1"/>
  <c r="F3" i="3"/>
  <c r="D4" i="3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284" i="1"/>
  <c r="G28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H9" i="3" l="1"/>
  <c r="D4" i="4"/>
  <c r="D3" i="4"/>
  <c r="E3" i="4" s="1"/>
  <c r="F3" i="4"/>
  <c r="F11" i="4" s="1"/>
  <c r="E15" i="3"/>
  <c r="E7" i="4"/>
  <c r="G3" i="4"/>
  <c r="G11" i="4" s="1"/>
  <c r="G17" i="4"/>
  <c r="F9" i="3"/>
  <c r="G9" i="3"/>
  <c r="E5" i="3"/>
  <c r="E3" i="3"/>
  <c r="F10" i="3" l="1"/>
  <c r="F12" i="4"/>
</calcChain>
</file>

<file path=xl/sharedStrings.xml><?xml version="1.0" encoding="utf-8"?>
<sst xmlns="http://schemas.openxmlformats.org/spreadsheetml/2006/main" count="12753" uniqueCount="2572">
  <si>
    <t>كود</t>
  </si>
  <si>
    <t>الرقم الذاتي</t>
  </si>
  <si>
    <t>الاسم الأول</t>
  </si>
  <si>
    <t>اسم الأب</t>
  </si>
  <si>
    <t>الكنية</t>
  </si>
  <si>
    <t>اسم الأم والكنية</t>
  </si>
  <si>
    <t>الرقم الوطني</t>
  </si>
  <si>
    <t>الجنسية</t>
  </si>
  <si>
    <t>المحافظة</t>
  </si>
  <si>
    <t>المنطقة - المدينة</t>
  </si>
  <si>
    <t>الناحية</t>
  </si>
  <si>
    <t>محل الولادة</t>
  </si>
  <si>
    <t>تاريخ الولادة</t>
  </si>
  <si>
    <t>القيد</t>
  </si>
  <si>
    <t>الجنس</t>
  </si>
  <si>
    <t>رقم الهاتف</t>
  </si>
  <si>
    <t>الوضع العائلي</t>
  </si>
  <si>
    <t>عدد الزوجات</t>
  </si>
  <si>
    <t>عدد الأبناء</t>
  </si>
  <si>
    <t>السوية التنظيمية الأولى</t>
  </si>
  <si>
    <t>السوية التنظيمية الثانية</t>
  </si>
  <si>
    <t>السوية التنظيمية الثالثة</t>
  </si>
  <si>
    <t>السوية التنظيمية الرابعة</t>
  </si>
  <si>
    <t>السوية التنظيمية الخامسة</t>
  </si>
  <si>
    <t>السوية التنظيمية السادسة</t>
  </si>
  <si>
    <t>المسمى الوظيفي الحالي</t>
  </si>
  <si>
    <t>مثبت-متعاقد</t>
  </si>
  <si>
    <t>الحالة</t>
  </si>
  <si>
    <t>تاريخ التعيين</t>
  </si>
  <si>
    <t>نمط التعيين أو التعاقد</t>
  </si>
  <si>
    <t>اذكر نمط التعيين أو التعاقد</t>
  </si>
  <si>
    <t>الفئة الوظيفية الحالية</t>
  </si>
  <si>
    <t>المؤهل العلمي المعيين على أساسه أو المعدل فئته عليه</t>
  </si>
  <si>
    <t>الاختصاص</t>
  </si>
  <si>
    <t>السكن (المحافظة)</t>
  </si>
  <si>
    <t>السكن (المنطقة - المدينة)</t>
  </si>
  <si>
    <t>نوع السكن</t>
  </si>
  <si>
    <t>هل ( الزوج /الزوجة ) موظف في القطاع الحكومي؟</t>
  </si>
  <si>
    <t>الاسم الثلاثي لــ( الزوج/الزوجة ) في حال كان موظف</t>
  </si>
  <si>
    <t>الجهة التي يعمل بها (الزوج/الزوجة) في حال كان موظف</t>
  </si>
  <si>
    <t>الحالة الصحية</t>
  </si>
  <si>
    <t>تفصيل الإصابة أو المرض</t>
  </si>
  <si>
    <t>زمرة الدم</t>
  </si>
  <si>
    <t>نوع الشهادة الحاصل عليها</t>
  </si>
  <si>
    <t>وجود الوثيقة</t>
  </si>
  <si>
    <t>الجامعة</t>
  </si>
  <si>
    <t>الكلية-المعهد</t>
  </si>
  <si>
    <t>الاختصاص2</t>
  </si>
  <si>
    <t>عام الحصول عليها</t>
  </si>
  <si>
    <t>هل لديك شهادة عليا في الإدارة؟</t>
  </si>
  <si>
    <t>ملاحظات</t>
  </si>
  <si>
    <t>_id</t>
  </si>
  <si>
    <t>_index</t>
  </si>
  <si>
    <t>ابراهيم</t>
  </si>
  <si>
    <t>فؤاد</t>
  </si>
  <si>
    <t>حسن</t>
  </si>
  <si>
    <t>نبيلة سليمان</t>
  </si>
  <si>
    <t>10090039368</t>
  </si>
  <si>
    <t>سوري</t>
  </si>
  <si>
    <t>طرطوس</t>
  </si>
  <si>
    <t>مركز منطقة طرطوس</t>
  </si>
  <si>
    <t>دمشق</t>
  </si>
  <si>
    <t>حرف بنمرة ٣</t>
  </si>
  <si>
    <t>ذكر</t>
  </si>
  <si>
    <t>0935284766</t>
  </si>
  <si>
    <t>عازب</t>
  </si>
  <si>
    <t>وزارة الإدارة المحلية و البيئة</t>
  </si>
  <si>
    <t>الأمانة العامة للمحافظة</t>
  </si>
  <si>
    <t>الأمانة العامة لمحافظة طرطوس</t>
  </si>
  <si>
    <t>مديرية المعلوماتية</t>
  </si>
  <si>
    <t>دائرة النظم والبرمجيات</t>
  </si>
  <si>
    <t>شبعة النظم والتحليل</t>
  </si>
  <si>
    <t>مهندس</t>
  </si>
  <si>
    <t>مثبت</t>
  </si>
  <si>
    <t>على رأس عمله</t>
  </si>
  <si>
    <t>فرز مهندسين</t>
  </si>
  <si>
    <t>إجازة جامعية 5 سنوات</t>
  </si>
  <si>
    <t>معلوماتية</t>
  </si>
  <si>
    <t>بانياس</t>
  </si>
  <si>
    <t>إيجار</t>
  </si>
  <si>
    <t>لا</t>
  </si>
  <si>
    <t>سليم</t>
  </si>
  <si>
    <t>A+</t>
  </si>
  <si>
    <t>نعم</t>
  </si>
  <si>
    <t>تشرين</t>
  </si>
  <si>
    <t>برمجيات ونظم المعلومات</t>
  </si>
  <si>
    <t>احمد</t>
  </si>
  <si>
    <t>صلاح</t>
  </si>
  <si>
    <t>عواطف ديب</t>
  </si>
  <si>
    <t>10010075916</t>
  </si>
  <si>
    <t>الدريكيش</t>
  </si>
  <si>
    <t>حمين</t>
  </si>
  <si>
    <t>خراب ٧٠٤</t>
  </si>
  <si>
    <t>0934756259</t>
  </si>
  <si>
    <t>مديرية التنمية الإدارية</t>
  </si>
  <si>
    <t>دائرة التنظيم المؤسساتي</t>
  </si>
  <si>
    <t>شعبة تطوير نظم المعلومات</t>
  </si>
  <si>
    <t>مطور نظم</t>
  </si>
  <si>
    <t>هندسة تكنولوجيا المعلومات</t>
  </si>
  <si>
    <t>ملك</t>
  </si>
  <si>
    <t>تكنولوجيا المعلومات</t>
  </si>
  <si>
    <t>كامل</t>
  </si>
  <si>
    <t>حمدان</t>
  </si>
  <si>
    <t>سهام طريفي</t>
  </si>
  <si>
    <t>10260020568</t>
  </si>
  <si>
    <t>الشيخ بدر</t>
  </si>
  <si>
    <t>مركز منطقة الشيخ بدر</t>
  </si>
  <si>
    <t>سريجيس ٣٥</t>
  </si>
  <si>
    <t>0994302012</t>
  </si>
  <si>
    <t>متزوج</t>
  </si>
  <si>
    <t>شعبة تبسيط الإجراءات</t>
  </si>
  <si>
    <t>مبسط احراءات</t>
  </si>
  <si>
    <t>هنسة كهربائية</t>
  </si>
  <si>
    <t>هندسة كهربائية</t>
  </si>
  <si>
    <t>طاقة</t>
  </si>
  <si>
    <t>محمد</t>
  </si>
  <si>
    <t>يوسف</t>
  </si>
  <si>
    <t>جمالي محمد</t>
  </si>
  <si>
    <t>10010114596</t>
  </si>
  <si>
    <t>سجنو١١</t>
  </si>
  <si>
    <t>0999856210</t>
  </si>
  <si>
    <t>مكتب التنمية المحلية</t>
  </si>
  <si>
    <t>إداري</t>
  </si>
  <si>
    <t>مسابقة</t>
  </si>
  <si>
    <t>الفئة الثانية</t>
  </si>
  <si>
    <t>شهاد ثانوية</t>
  </si>
  <si>
    <t>عزه معين معلا</t>
  </si>
  <si>
    <t>مديرية الصحة</t>
  </si>
  <si>
    <t>شهادة ثانوية</t>
  </si>
  <si>
    <t>ادبي</t>
  </si>
  <si>
    <t>ميهوب</t>
  </si>
  <si>
    <t>علي</t>
  </si>
  <si>
    <t>اميرة عمار</t>
  </si>
  <si>
    <t>10100035265</t>
  </si>
  <si>
    <t>باب النور</t>
  </si>
  <si>
    <t>باب النور ١٧</t>
  </si>
  <si>
    <t>0982325362</t>
  </si>
  <si>
    <t>تكليف</t>
  </si>
  <si>
    <t>عامل حدائق</t>
  </si>
  <si>
    <t>تعاقد مباشر</t>
  </si>
  <si>
    <t>الفئة الخامسة</t>
  </si>
  <si>
    <t>القدموس</t>
  </si>
  <si>
    <t>B+</t>
  </si>
  <si>
    <t>شهادة إعدادية</t>
  </si>
  <si>
    <t>مكلف لدى بلدية الدي</t>
  </si>
  <si>
    <t>يونس</t>
  </si>
  <si>
    <t>ريا</t>
  </si>
  <si>
    <t>مسيكة ريا</t>
  </si>
  <si>
    <t>10010108388</t>
  </si>
  <si>
    <t>تالين</t>
  </si>
  <si>
    <t>تعنيتا</t>
  </si>
  <si>
    <t>0988570690</t>
  </si>
  <si>
    <t>مديرية إدارة النفايات الصلبة</t>
  </si>
  <si>
    <t>القسم الفني</t>
  </si>
  <si>
    <t>عامل فرز</t>
  </si>
  <si>
    <t>متعاقد</t>
  </si>
  <si>
    <t>مسابقة مركزية</t>
  </si>
  <si>
    <t>الفئة الرابعة</t>
  </si>
  <si>
    <t>أقارب</t>
  </si>
  <si>
    <t>اديب</t>
  </si>
  <si>
    <t>صالح</t>
  </si>
  <si>
    <t>ملحم</t>
  </si>
  <si>
    <t>جميلة محفوض</t>
  </si>
  <si>
    <t>10160156944</t>
  </si>
  <si>
    <t>صافيتا</t>
  </si>
  <si>
    <t>مركز منطقة صافيتا</t>
  </si>
  <si>
    <t>رويسة حمدان</t>
  </si>
  <si>
    <t>رويسة حمدان٣٨</t>
  </si>
  <si>
    <t>0934825299</t>
  </si>
  <si>
    <t>مديرية المجالس المحلية</t>
  </si>
  <si>
    <t>دائرة المكتب التنفيذي</t>
  </si>
  <si>
    <t>لدى عضو مكتب تنفيذي</t>
  </si>
  <si>
    <t>مستخدم</t>
  </si>
  <si>
    <t>O+</t>
  </si>
  <si>
    <t>الهام</t>
  </si>
  <si>
    <t>اسماعيل</t>
  </si>
  <si>
    <t>منى اسماعيل</t>
  </si>
  <si>
    <t>10010097009</t>
  </si>
  <si>
    <t>حبرون ١٢</t>
  </si>
  <si>
    <t>انثى</t>
  </si>
  <si>
    <t>0994231145</t>
  </si>
  <si>
    <t>مراقب فني</t>
  </si>
  <si>
    <t>معهد متوسط</t>
  </si>
  <si>
    <t>مراقب فني - مساحة</t>
  </si>
  <si>
    <t>اللاذقية</t>
  </si>
  <si>
    <t>معهد مراقبين فنيين</t>
  </si>
  <si>
    <t>مساحة</t>
  </si>
  <si>
    <t>مكافة لدى بلدة الطليعي</t>
  </si>
  <si>
    <t>اناغيم</t>
  </si>
  <si>
    <t>محمد علي</t>
  </si>
  <si>
    <t>أبو خضور</t>
  </si>
  <si>
    <t>رغداء ابو خضور</t>
  </si>
  <si>
    <t>12010053981</t>
  </si>
  <si>
    <t>مشفى درعا</t>
  </si>
  <si>
    <t>دعا٨١٧</t>
  </si>
  <si>
    <t>0935077605</t>
  </si>
  <si>
    <t>القسم الإداري</t>
  </si>
  <si>
    <t>مهندسة</t>
  </si>
  <si>
    <t>هندسة تكنولوجيا المعلومات والاتصالات</t>
  </si>
  <si>
    <t>جامعة طرطوس</t>
  </si>
  <si>
    <t>كلية الهندسة المعلوماتية</t>
  </si>
  <si>
    <t>انتصار</t>
  </si>
  <si>
    <t>اخرس</t>
  </si>
  <si>
    <t>نجلا</t>
  </si>
  <si>
    <t>سميعة البري</t>
  </si>
  <si>
    <t>10030013865</t>
  </si>
  <si>
    <t>السودا</t>
  </si>
  <si>
    <t>مرقية</t>
  </si>
  <si>
    <t>عزيت ٢١</t>
  </si>
  <si>
    <t>0994097884</t>
  </si>
  <si>
    <t>مديرية الشؤون المالية</t>
  </si>
  <si>
    <t>دائرة الوحدات الإدارية</t>
  </si>
  <si>
    <t>مراسلة</t>
  </si>
  <si>
    <t>طلال حبيب تفاحة</t>
  </si>
  <si>
    <t>مجلس مدينة طرطوس</t>
  </si>
  <si>
    <t>عوض</t>
  </si>
  <si>
    <t>الظروف</t>
  </si>
  <si>
    <t>معينه محمود</t>
  </si>
  <si>
    <t>10130000188</t>
  </si>
  <si>
    <t>خراب ١٨٢٨</t>
  </si>
  <si>
    <t>0931832037</t>
  </si>
  <si>
    <t>دائرة الديوان العام</t>
  </si>
  <si>
    <t>شعبة الارشفة</t>
  </si>
  <si>
    <t>عامل طباعة</t>
  </si>
  <si>
    <t>معهد فنون</t>
  </si>
  <si>
    <t>فنون</t>
  </si>
  <si>
    <t>انس</t>
  </si>
  <si>
    <t>حكمت</t>
  </si>
  <si>
    <t>محمود</t>
  </si>
  <si>
    <t>دعد سليمان</t>
  </si>
  <si>
    <t>10260033092</t>
  </si>
  <si>
    <t>تنغري ١٦</t>
  </si>
  <si>
    <t>0998406399</t>
  </si>
  <si>
    <t>مديرية دعم القرار والتخطيط الإقليمي</t>
  </si>
  <si>
    <t>دائرة الدعم الفني</t>
  </si>
  <si>
    <t>هندسة معمارية</t>
  </si>
  <si>
    <t>A-</t>
  </si>
  <si>
    <t>عمارة</t>
  </si>
  <si>
    <t>اياد</t>
  </si>
  <si>
    <t>حبيب</t>
  </si>
  <si>
    <t>غالية حسن</t>
  </si>
  <si>
    <t>10120001092</t>
  </si>
  <si>
    <t>الطواحين</t>
  </si>
  <si>
    <t>شمسين</t>
  </si>
  <si>
    <t>الطواحين ٢٠</t>
  </si>
  <si>
    <t>0988801589</t>
  </si>
  <si>
    <t>مديرية الخدمات العامة</t>
  </si>
  <si>
    <t>دائرة الآليات</t>
  </si>
  <si>
    <t>شعبة المرآب</t>
  </si>
  <si>
    <t>سائق</t>
  </si>
  <si>
    <t>قراءة وكتابة</t>
  </si>
  <si>
    <t>اية</t>
  </si>
  <si>
    <t>امين</t>
  </si>
  <si>
    <t>دلول</t>
  </si>
  <si>
    <t>سميرا ابراهيم</t>
  </si>
  <si>
    <t>10010044403</t>
  </si>
  <si>
    <t>الشيخ سعد ٤٩</t>
  </si>
  <si>
    <t>0991647079</t>
  </si>
  <si>
    <t>دائرة الشبكات والدعم الفني</t>
  </si>
  <si>
    <t>شعبة الشبكات</t>
  </si>
  <si>
    <t>النظم والشبكات الحاسوبية</t>
  </si>
  <si>
    <t>حمد</t>
  </si>
  <si>
    <t>شما</t>
  </si>
  <si>
    <t>وداد زيني</t>
  </si>
  <si>
    <t>10090092308</t>
  </si>
  <si>
    <t>تعنيتا ٣٧</t>
  </si>
  <si>
    <t>0953609418</t>
  </si>
  <si>
    <t>شعبة الشبكات والاتصالات</t>
  </si>
  <si>
    <t>اللادقية</t>
  </si>
  <si>
    <t>نظم شبكات معلوماتية</t>
  </si>
  <si>
    <t>ايفين</t>
  </si>
  <si>
    <t>عبدالله</t>
  </si>
  <si>
    <t>سحر اسعد</t>
  </si>
  <si>
    <t>04120082246</t>
  </si>
  <si>
    <t>سميكة</t>
  </si>
  <si>
    <t>دلبة ٣٤</t>
  </si>
  <si>
    <t>0997599571</t>
  </si>
  <si>
    <t>هندسة مدنية</t>
  </si>
  <si>
    <t>مدني</t>
  </si>
  <si>
    <t>ادارة تشييد</t>
  </si>
  <si>
    <t>مكلف لدى بلدية بشبطة</t>
  </si>
  <si>
    <t>ايمان</t>
  </si>
  <si>
    <t>بديع</t>
  </si>
  <si>
    <t>لينا مصطفى</t>
  </si>
  <si>
    <t>10160160847</t>
  </si>
  <si>
    <t>صافيتا الكنايس</t>
  </si>
  <si>
    <t>جورة الشمبور ١٩</t>
  </si>
  <si>
    <t>0935202818</t>
  </si>
  <si>
    <t>دائرة مجلس المحافظة ومكتبه التنفيذي</t>
  </si>
  <si>
    <t>ادارية</t>
  </si>
  <si>
    <t>فرز معهد الإدارة العامة INA</t>
  </si>
  <si>
    <t>ماجستير</t>
  </si>
  <si>
    <t>هندسة زراعية شعبة عامة</t>
  </si>
  <si>
    <t>هندسة زراعية</t>
  </si>
  <si>
    <t>شعبة عامة</t>
  </si>
  <si>
    <t>ايمن</t>
  </si>
  <si>
    <t>ليلى سليمان</t>
  </si>
  <si>
    <t>10170013932</t>
  </si>
  <si>
    <t>مركز منطقة الدريكيش</t>
  </si>
  <si>
    <t>خربة بسماقة</t>
  </si>
  <si>
    <t>خربة بسماقة ٧</t>
  </si>
  <si>
    <t>0994002806</t>
  </si>
  <si>
    <t>الجاهزية</t>
  </si>
  <si>
    <t>إماس</t>
  </si>
  <si>
    <t>فريد</t>
  </si>
  <si>
    <t>يقظه حمود</t>
  </si>
  <si>
    <t>10140010401</t>
  </si>
  <si>
    <t>حمام واصل</t>
  </si>
  <si>
    <t>مرويه</t>
  </si>
  <si>
    <t>0992775923</t>
  </si>
  <si>
    <t>مراقبين فنيين</t>
  </si>
  <si>
    <t>رسم هندسي</t>
  </si>
  <si>
    <t>مكلفة لدى بلدية حمام واصل</t>
  </si>
  <si>
    <t>أميرة</t>
  </si>
  <si>
    <t>بهيه خضر</t>
  </si>
  <si>
    <t>10220042304</t>
  </si>
  <si>
    <t>بقعو27</t>
  </si>
  <si>
    <t>0988402925</t>
  </si>
  <si>
    <t>دائرة شؤون الوحدات الادارية</t>
  </si>
  <si>
    <t>رئيسة دائرة شؤون الوحدات الادارية</t>
  </si>
  <si>
    <t>جامعة اللادقية</t>
  </si>
  <si>
    <t>أية</t>
  </si>
  <si>
    <t>عباس</t>
  </si>
  <si>
    <t>أمل العجي</t>
  </si>
  <si>
    <t>10010000651</t>
  </si>
  <si>
    <t>القمصية33</t>
  </si>
  <si>
    <t>0940966854</t>
  </si>
  <si>
    <t>إجازة جامعية 4 سنوات</t>
  </si>
  <si>
    <t>تجارة واقتصاد</t>
  </si>
  <si>
    <t>مازن عارف محمد</t>
  </si>
  <si>
    <t>الخدمات الفنية</t>
  </si>
  <si>
    <t>كلية الاقتصاد</t>
  </si>
  <si>
    <t>مكلفة لدى مديرية الخدمات الفنية</t>
  </si>
  <si>
    <t>باسم</t>
  </si>
  <si>
    <t>سلمان</t>
  </si>
  <si>
    <t>نوف احمد</t>
  </si>
  <si>
    <t>10010161653</t>
  </si>
  <si>
    <t>بيت كمونة</t>
  </si>
  <si>
    <t>بيت كمونة٥</t>
  </si>
  <si>
    <t>0933367120</t>
  </si>
  <si>
    <t>هندسة عمارة</t>
  </si>
  <si>
    <t>رباب غانم دبس</t>
  </si>
  <si>
    <t>مديرية التربية</t>
  </si>
  <si>
    <t>هندسة عماره</t>
  </si>
  <si>
    <t>عماره</t>
  </si>
  <si>
    <t>أنيسة داوود</t>
  </si>
  <si>
    <t>10010155312</t>
  </si>
  <si>
    <t>ضهر رجب٢٢</t>
  </si>
  <si>
    <t>0991570156</t>
  </si>
  <si>
    <t>المركز المتكامل في وادي الهدة</t>
  </si>
  <si>
    <t>براءه</t>
  </si>
  <si>
    <t>حاج معلا</t>
  </si>
  <si>
    <t>هيام شناتا</t>
  </si>
  <si>
    <t>10010079957</t>
  </si>
  <si>
    <t>خراب اسلام ٨٩٥</t>
  </si>
  <si>
    <t>علمي</t>
  </si>
  <si>
    <t xml:space="preserve">مكلفة لدى اتحاد عمال طرطوس </t>
  </si>
  <si>
    <t>بشار</t>
  </si>
  <si>
    <t>حصاوي</t>
  </si>
  <si>
    <t>فاطمة حسن</t>
  </si>
  <si>
    <t>04120004502</t>
  </si>
  <si>
    <t>حمص</t>
  </si>
  <si>
    <t>تلكلخ</t>
  </si>
  <si>
    <t>مركز منطقة تلكلخ</t>
  </si>
  <si>
    <t>تلكخ</t>
  </si>
  <si>
    <t>معربو١٨</t>
  </si>
  <si>
    <t>0933445982</t>
  </si>
  <si>
    <t>محطة صافيتا</t>
  </si>
  <si>
    <t>O-</t>
  </si>
  <si>
    <t>عبدالكريم</t>
  </si>
  <si>
    <t>سعده حاج معلا</t>
  </si>
  <si>
    <t>10010079942</t>
  </si>
  <si>
    <t>0933844399</t>
  </si>
  <si>
    <t>عامل طباعه</t>
  </si>
  <si>
    <t>تكليف لدى اتحاد عمال طرطوس</t>
  </si>
  <si>
    <t>بهاء</t>
  </si>
  <si>
    <t>الموعي</t>
  </si>
  <si>
    <t>كوكب عباس</t>
  </si>
  <si>
    <t>10160106311</t>
  </si>
  <si>
    <t>راس مندو</t>
  </si>
  <si>
    <t>راس مندو6</t>
  </si>
  <si>
    <t>0933714474</t>
  </si>
  <si>
    <t>تغريد</t>
  </si>
  <si>
    <t>سهيلا سلمان</t>
  </si>
  <si>
    <t>10010001039</t>
  </si>
  <si>
    <t>الرمل ٣٤</t>
  </si>
  <si>
    <t>0982248472</t>
  </si>
  <si>
    <t>عاملة حاسب</t>
  </si>
  <si>
    <t>فادي عبدالحميد حسن</t>
  </si>
  <si>
    <t>مديرية الخدمات الفنية بطرطوس</t>
  </si>
  <si>
    <t>مكلفة لدى بلدية يحمور</t>
  </si>
  <si>
    <t>تمام</t>
  </si>
  <si>
    <t>الزمريني</t>
  </si>
  <si>
    <t>ملكه ابراهيم</t>
  </si>
  <si>
    <t>10220046553</t>
  </si>
  <si>
    <t>بقعو</t>
  </si>
  <si>
    <t>بقعو ٨٧</t>
  </si>
  <si>
    <t>0933289677</t>
  </si>
  <si>
    <t>مساعد اداري</t>
  </si>
  <si>
    <t>لغة فرنسية</t>
  </si>
  <si>
    <t>كلية الآداب والعلوم الإنسانية</t>
  </si>
  <si>
    <t>ادب فرنسي</t>
  </si>
  <si>
    <t>تيماء</t>
  </si>
  <si>
    <t>صافي</t>
  </si>
  <si>
    <t>وجود ديب</t>
  </si>
  <si>
    <t>10040014648</t>
  </si>
  <si>
    <t>خربة المعزة</t>
  </si>
  <si>
    <t>يمور ١٠٤</t>
  </si>
  <si>
    <t>0938732218</t>
  </si>
  <si>
    <t>دائرة تحليل المعطيات</t>
  </si>
  <si>
    <t>جراح</t>
  </si>
  <si>
    <t>سليمان</t>
  </si>
  <si>
    <t>نجاح حمدان</t>
  </si>
  <si>
    <t>10130016338</t>
  </si>
  <si>
    <t>الروضة</t>
  </si>
  <si>
    <t>كرميا</t>
  </si>
  <si>
    <t>كرميا٨</t>
  </si>
  <si>
    <t>0992170246</t>
  </si>
  <si>
    <t>مطلق</t>
  </si>
  <si>
    <t>دائرة الخدمات الادارية</t>
  </si>
  <si>
    <t>المستودع</t>
  </si>
  <si>
    <t>أمين مستودع</t>
  </si>
  <si>
    <t>معهد متوسط هندسة كمبيوتر</t>
  </si>
  <si>
    <t>ايمان علي محمد</t>
  </si>
  <si>
    <t>مديرية الخدمات الفنية</t>
  </si>
  <si>
    <t>جامعة اللاذقية</t>
  </si>
  <si>
    <t>هندسة كمبيوتر</t>
  </si>
  <si>
    <t>جميله</t>
  </si>
  <si>
    <t>بهجت</t>
  </si>
  <si>
    <t>ماريه حمدان</t>
  </si>
  <si>
    <t>10260017185</t>
  </si>
  <si>
    <t>سريجس</t>
  </si>
  <si>
    <t>سريجس ١٩</t>
  </si>
  <si>
    <t>آداب</t>
  </si>
  <si>
    <t>ادب عربي</t>
  </si>
  <si>
    <t>مكلفة لدى مجلس مدينة الشيخ بدر</t>
  </si>
  <si>
    <t>جنان</t>
  </si>
  <si>
    <t>عمر</t>
  </si>
  <si>
    <t>الشيخ</t>
  </si>
  <si>
    <t>فاطمة أخضر</t>
  </si>
  <si>
    <t>10010078192</t>
  </si>
  <si>
    <t>خراب اسلام 945</t>
  </si>
  <si>
    <t>0994891990</t>
  </si>
  <si>
    <t>مركز خدمات المحافظة</t>
  </si>
  <si>
    <t>موظفة استقبال</t>
  </si>
  <si>
    <t>معهد مصرفي</t>
  </si>
  <si>
    <t>AB+</t>
  </si>
  <si>
    <t>منير</t>
  </si>
  <si>
    <t>نبهان</t>
  </si>
  <si>
    <t>ندى احمد</t>
  </si>
  <si>
    <t>10050003634</t>
  </si>
  <si>
    <t>خراب678</t>
  </si>
  <si>
    <t>0993818256</t>
  </si>
  <si>
    <t>اداب</t>
  </si>
  <si>
    <t>تاريخ</t>
  </si>
  <si>
    <t>مكلفة لدى بلدية بسورم</t>
  </si>
  <si>
    <t>جهاد</t>
  </si>
  <si>
    <t>قميره</t>
  </si>
  <si>
    <t>فاطمة خضور</t>
  </si>
  <si>
    <t>10010012541</t>
  </si>
  <si>
    <t>الحمرات ٣٠٨</t>
  </si>
  <si>
    <t>0933686872</t>
  </si>
  <si>
    <t>مدير الخدمات العامة</t>
  </si>
  <si>
    <t>أدب فرنسي</t>
  </si>
  <si>
    <t>سمر شوكت درغام</t>
  </si>
  <si>
    <t>جومانا</t>
  </si>
  <si>
    <t>عمران</t>
  </si>
  <si>
    <t>سليمة محرز</t>
  </si>
  <si>
    <t>10230010545</t>
  </si>
  <si>
    <t>بشمشة</t>
  </si>
  <si>
    <t>بشمشة ٢١</t>
  </si>
  <si>
    <t>0992897166</t>
  </si>
  <si>
    <t>الوراد</t>
  </si>
  <si>
    <t>ادراي</t>
  </si>
  <si>
    <t>حسام</t>
  </si>
  <si>
    <t>جابر</t>
  </si>
  <si>
    <t>عمار</t>
  </si>
  <si>
    <t>هاجر الشيخ</t>
  </si>
  <si>
    <t>10280010962</t>
  </si>
  <si>
    <t>الجباب ٢٥</t>
  </si>
  <si>
    <t>0933048295</t>
  </si>
  <si>
    <t>محاسب محروقات</t>
  </si>
  <si>
    <t>تجارة واقتصاد - نشروعات صغيرة</t>
  </si>
  <si>
    <t>اقتصاد</t>
  </si>
  <si>
    <t>مشروعات صغيرة</t>
  </si>
  <si>
    <t>عقل</t>
  </si>
  <si>
    <t>خضرة علي</t>
  </si>
  <si>
    <t>10260017794</t>
  </si>
  <si>
    <t>فندراة</t>
  </si>
  <si>
    <t>النويحة ١٠</t>
  </si>
  <si>
    <t>0936885218</t>
  </si>
  <si>
    <t>اداري</t>
  </si>
  <si>
    <t>لبنى علي علي</t>
  </si>
  <si>
    <t>تجارة</t>
  </si>
  <si>
    <t>مكلف الى مجلس مدينة الشيخ بدر</t>
  </si>
  <si>
    <t>حسان</t>
  </si>
  <si>
    <t>ديوب</t>
  </si>
  <si>
    <t>نوال خضور</t>
  </si>
  <si>
    <t>10270009352</t>
  </si>
  <si>
    <t>تلة ١٩</t>
  </si>
  <si>
    <t>0937902315</t>
  </si>
  <si>
    <t>مديرية الشؤون القانونية</t>
  </si>
  <si>
    <t>دائرة الإفراز والاستملاك</t>
  </si>
  <si>
    <t>رئيس شعبة</t>
  </si>
  <si>
    <t>هندسة</t>
  </si>
  <si>
    <t>مدنية</t>
  </si>
  <si>
    <t>عيسى</t>
  </si>
  <si>
    <t>خليل</t>
  </si>
  <si>
    <t>فاطمة زهره</t>
  </si>
  <si>
    <t>10010142387</t>
  </si>
  <si>
    <t>خراب٢٨٥٨</t>
  </si>
  <si>
    <t>0932463184</t>
  </si>
  <si>
    <t>القسم الإداري والمالي</t>
  </si>
  <si>
    <t>محاسب</t>
  </si>
  <si>
    <t>رياضيات</t>
  </si>
  <si>
    <t>حمود</t>
  </si>
  <si>
    <t>ريما محمد</t>
  </si>
  <si>
    <t>10280008434</t>
  </si>
  <si>
    <t>القمصية</t>
  </si>
  <si>
    <t>صفلية</t>
  </si>
  <si>
    <t>0992485285</t>
  </si>
  <si>
    <t>الموازنة الجارية</t>
  </si>
  <si>
    <t>شعبة النفقات</t>
  </si>
  <si>
    <t>معتمد رواتب</t>
  </si>
  <si>
    <t>اقتصاد وتخطيط</t>
  </si>
  <si>
    <t>مها محمد مرهج</t>
  </si>
  <si>
    <t>الامانة العامة لمحافظة طرطوس</t>
  </si>
  <si>
    <t>هدى ديب</t>
  </si>
  <si>
    <t>حمين ٤٨</t>
  </si>
  <si>
    <t>فني صيانة</t>
  </si>
  <si>
    <t>مكلف لدى بلدية حمين</t>
  </si>
  <si>
    <t>هند</t>
  </si>
  <si>
    <t>10010076774</t>
  </si>
  <si>
    <t>0984236158</t>
  </si>
  <si>
    <t>فاديا عمران</t>
  </si>
  <si>
    <t>10160120971</t>
  </si>
  <si>
    <t>الصومعة</t>
  </si>
  <si>
    <t>الصومعة19</t>
  </si>
  <si>
    <t>0983145067</t>
  </si>
  <si>
    <t>تجاري مصرفي</t>
  </si>
  <si>
    <t>مععد متوسط</t>
  </si>
  <si>
    <t>مكلف لدى مديرية الثقافة</t>
  </si>
  <si>
    <t>جميله حمدان</t>
  </si>
  <si>
    <t>10020015324</t>
  </si>
  <si>
    <t>الصفصافة</t>
  </si>
  <si>
    <t>الصبوحية</t>
  </si>
  <si>
    <t>الصبوحية ١</t>
  </si>
  <si>
    <t>0988292817</t>
  </si>
  <si>
    <t>سلامة</t>
  </si>
  <si>
    <t>ابتسام ناصر</t>
  </si>
  <si>
    <t>10010109039</t>
  </si>
  <si>
    <t>الجوبه</t>
  </si>
  <si>
    <t>جوبي ١</t>
  </si>
  <si>
    <t>0956600051</t>
  </si>
  <si>
    <t>دائرة الموارد البشرية</t>
  </si>
  <si>
    <t>شعبة شؤون العامين</t>
  </si>
  <si>
    <t>جغرافيا</t>
  </si>
  <si>
    <t>كلية الاداب الثانية</t>
  </si>
  <si>
    <t>حسين</t>
  </si>
  <si>
    <t>عدنان</t>
  </si>
  <si>
    <t>أديبة سليم</t>
  </si>
  <si>
    <t>10260033194</t>
  </si>
  <si>
    <t>نمريه</t>
  </si>
  <si>
    <t>النمرية7</t>
  </si>
  <si>
    <t>0994313546</t>
  </si>
  <si>
    <t>مديرية المناطق الصناعية والحرفية</t>
  </si>
  <si>
    <t>الهندسة المدنية</t>
  </si>
  <si>
    <t>حلا</t>
  </si>
  <si>
    <t>جززفين سليمان</t>
  </si>
  <si>
    <t>10150006749</t>
  </si>
  <si>
    <t>مركز منطقة بانياس</t>
  </si>
  <si>
    <t>بانياس ١٨٣٠</t>
  </si>
  <si>
    <t>0991272495</t>
  </si>
  <si>
    <t>بشار محمد ديوب</t>
  </si>
  <si>
    <t>الشركة العامة لمصفاة بانياس</t>
  </si>
  <si>
    <t>مكلفة لدى مركز خدمة المواطن - بانياس</t>
  </si>
  <si>
    <t>حيان</t>
  </si>
  <si>
    <t>مشهور</t>
  </si>
  <si>
    <t>مها ركنا</t>
  </si>
  <si>
    <t>10100001702</t>
  </si>
  <si>
    <t>الحاطرية ٧</t>
  </si>
  <si>
    <t>0999203436</t>
  </si>
  <si>
    <t>الصادر</t>
  </si>
  <si>
    <t>حيدر</t>
  </si>
  <si>
    <t>جمال</t>
  </si>
  <si>
    <t>رجاء الشمالي</t>
  </si>
  <si>
    <t>10160122956</t>
  </si>
  <si>
    <t>الكرامة</t>
  </si>
  <si>
    <t>الكرامة ٣٣</t>
  </si>
  <si>
    <t>0968218153</t>
  </si>
  <si>
    <t>جابي</t>
  </si>
  <si>
    <t>هندسة حواسيب</t>
  </si>
  <si>
    <t>لارا محمد يوسف</t>
  </si>
  <si>
    <t>مديرية تربية طرطوس</t>
  </si>
  <si>
    <t>معهد هندسة حواسيب</t>
  </si>
  <si>
    <t>تقنيات حاسوب</t>
  </si>
  <si>
    <t>خضر</t>
  </si>
  <si>
    <t>سمير</t>
  </si>
  <si>
    <t>داود</t>
  </si>
  <si>
    <t>هيام دره</t>
  </si>
  <si>
    <t>10160089254</t>
  </si>
  <si>
    <t>الماب</t>
  </si>
  <si>
    <t>الماب٦٤</t>
  </si>
  <si>
    <t>0996220565</t>
  </si>
  <si>
    <t>طبوغرافيا</t>
  </si>
  <si>
    <t>خولة</t>
  </si>
  <si>
    <t>عليا صالح</t>
  </si>
  <si>
    <t>10260028256</t>
  </si>
  <si>
    <t>الوردية</t>
  </si>
  <si>
    <t>القمصية٢٩</t>
  </si>
  <si>
    <t>0984983064</t>
  </si>
  <si>
    <t>معهد سكرتاريه</t>
  </si>
  <si>
    <t>غسان صالح اسماعيل</t>
  </si>
  <si>
    <t>بلدية القمصية</t>
  </si>
  <si>
    <t>سكرتاريه</t>
  </si>
  <si>
    <t>مكلفة لدى بلدية القمصية</t>
  </si>
  <si>
    <t>دارين</t>
  </si>
  <si>
    <t>الياس</t>
  </si>
  <si>
    <t>حنا</t>
  </si>
  <si>
    <t>ثلجي اسبر</t>
  </si>
  <si>
    <t>04010736946</t>
  </si>
  <si>
    <t>مشتى الحلو</t>
  </si>
  <si>
    <t>كفرون بشور ١٥</t>
  </si>
  <si>
    <t>آداب انكليزي</t>
  </si>
  <si>
    <t>كلية الآداب</t>
  </si>
  <si>
    <t>لغة انكليزية</t>
  </si>
  <si>
    <t>مكلفة لدى مديرية الصحة</t>
  </si>
  <si>
    <t>توفيقة طاهر</t>
  </si>
  <si>
    <t>10010093401</t>
  </si>
  <si>
    <t>دوير رسلان</t>
  </si>
  <si>
    <t>عين فطيمة</t>
  </si>
  <si>
    <t>ضهر الطاحون ٤</t>
  </si>
  <si>
    <t>0992140346</t>
  </si>
  <si>
    <t>الشكاوى</t>
  </si>
  <si>
    <t>دولات</t>
  </si>
  <si>
    <t>بتورة</t>
  </si>
  <si>
    <t>امنة محمد</t>
  </si>
  <si>
    <t>10010112304</t>
  </si>
  <si>
    <t>بدرية</t>
  </si>
  <si>
    <t>دوير الشيخ سعد ٧</t>
  </si>
  <si>
    <t>0937977726</t>
  </si>
  <si>
    <t>المراسلات</t>
  </si>
  <si>
    <t>مراسل</t>
  </si>
  <si>
    <t>ديالا</t>
  </si>
  <si>
    <t>نسيم</t>
  </si>
  <si>
    <t>غيثاء اسماعيل</t>
  </si>
  <si>
    <t>المضابع</t>
  </si>
  <si>
    <t>تركب٤٩</t>
  </si>
  <si>
    <t>0992805094</t>
  </si>
  <si>
    <t>هندسة غذائية</t>
  </si>
  <si>
    <t>جامعة حمص</t>
  </si>
  <si>
    <t>غذائية</t>
  </si>
  <si>
    <t>ديانا</t>
  </si>
  <si>
    <t>نضوة</t>
  </si>
  <si>
    <t>نبيلة صقر</t>
  </si>
  <si>
    <t>06020059455</t>
  </si>
  <si>
    <t>مركز منطقة اللاذقية</t>
  </si>
  <si>
    <t>القنجرة</t>
  </si>
  <si>
    <t>القنجرة ١٣٦</t>
  </si>
  <si>
    <t>0930631398</t>
  </si>
  <si>
    <t>مبسط إجراءات</t>
  </si>
  <si>
    <t>ديما</t>
  </si>
  <si>
    <t>بسما ديوب</t>
  </si>
  <si>
    <t>05190007917</t>
  </si>
  <si>
    <t>بجنة الجرد 21</t>
  </si>
  <si>
    <t>أنثى</t>
  </si>
  <si>
    <t>0992078888</t>
  </si>
  <si>
    <t>وزارة الإدارة المحلية والبيئة</t>
  </si>
  <si>
    <t>إدارية</t>
  </si>
  <si>
    <t>إدارة أعمال وتسويق</t>
  </si>
  <si>
    <t>الافتراضية</t>
  </si>
  <si>
    <t>برنامج لسانيات تطبيقية</t>
  </si>
  <si>
    <t>نوح</t>
  </si>
  <si>
    <t>سحر حسين</t>
  </si>
  <si>
    <t>10220043734</t>
  </si>
  <si>
    <t>رجام الجرد</t>
  </si>
  <si>
    <t>تلازيق نواقير الدليبة 13</t>
  </si>
  <si>
    <t>0994165521</t>
  </si>
  <si>
    <t>موظفة معاملات بطيئة</t>
  </si>
  <si>
    <t>هندسة تقنية</t>
  </si>
  <si>
    <t>مازن محمود ابراهيم</t>
  </si>
  <si>
    <t>هيفاء افرنجية</t>
  </si>
  <si>
    <t>06200031067</t>
  </si>
  <si>
    <t>المران واسطمنا ٤٨</t>
  </si>
  <si>
    <t>0937573934</t>
  </si>
  <si>
    <t>دائرة الدراسات القانونية</t>
  </si>
  <si>
    <t>حقوق</t>
  </si>
  <si>
    <t>ديمة</t>
  </si>
  <si>
    <t>فاطمة سليمان</t>
  </si>
  <si>
    <t>10010071629</t>
  </si>
  <si>
    <t>خراب ١٠٥٣</t>
  </si>
  <si>
    <t>0932909782</t>
  </si>
  <si>
    <t>عاملة كومبيوتر</t>
  </si>
  <si>
    <t>رامح</t>
  </si>
  <si>
    <t>عبدالرحمن</t>
  </si>
  <si>
    <t>حياة إبراهيم</t>
  </si>
  <si>
    <t>10100006855</t>
  </si>
  <si>
    <t>مركز منطقة القدموس</t>
  </si>
  <si>
    <t>القدموس ٣٧٣</t>
  </si>
  <si>
    <t>0988709783</t>
  </si>
  <si>
    <t>ضياء محمد شاهين</t>
  </si>
  <si>
    <t>مديرية الزراعة</t>
  </si>
  <si>
    <t>جامعة دمشق</t>
  </si>
  <si>
    <t>تكليف لدى مديرية الخدمات الفنية</t>
  </si>
  <si>
    <t>رامي</t>
  </si>
  <si>
    <t>سعاد ديوب</t>
  </si>
  <si>
    <t>10220008460</t>
  </si>
  <si>
    <t>دريكيش</t>
  </si>
  <si>
    <t>الدريكيش ٢٢٢</t>
  </si>
  <si>
    <t>0988136533</t>
  </si>
  <si>
    <t>رئيس مركز خدمة المواطن</t>
  </si>
  <si>
    <t>كلية الحقوق</t>
  </si>
  <si>
    <t>مكلف لدى مجلس مدينة الدريكيش</t>
  </si>
  <si>
    <t>شاليش</t>
  </si>
  <si>
    <t>جميلة جمول</t>
  </si>
  <si>
    <t>10030038768</t>
  </si>
  <si>
    <t>حصين البحر83</t>
  </si>
  <si>
    <t>0981395909</t>
  </si>
  <si>
    <t>رانيا</t>
  </si>
  <si>
    <t>بدر</t>
  </si>
  <si>
    <t>العتيري</t>
  </si>
  <si>
    <t>ماريه كرميا</t>
  </si>
  <si>
    <t>06200019099</t>
  </si>
  <si>
    <t>القرداحة</t>
  </si>
  <si>
    <t>بشرائيل١٤</t>
  </si>
  <si>
    <t>0982913390</t>
  </si>
  <si>
    <t>مكتب الإعلام والمتابعة</t>
  </si>
  <si>
    <t>كاتبة</t>
  </si>
  <si>
    <t>معهد تقاني هندسي</t>
  </si>
  <si>
    <t>رانيه</t>
  </si>
  <si>
    <t>منتهى صالح</t>
  </si>
  <si>
    <t>10220029941</t>
  </si>
  <si>
    <t>حماة</t>
  </si>
  <si>
    <t>مصياف</t>
  </si>
  <si>
    <t>مركز منطقة مصياف</t>
  </si>
  <si>
    <t>دير ماما٥٧</t>
  </si>
  <si>
    <t>0938582689</t>
  </si>
  <si>
    <t>أسواق مالية</t>
  </si>
  <si>
    <t>إياد محمد عبدالله</t>
  </si>
  <si>
    <t>الاتحاد العام الرياضي</t>
  </si>
  <si>
    <t>ربا</t>
  </si>
  <si>
    <t>غسان</t>
  </si>
  <si>
    <t>حياة هدلت</t>
  </si>
  <si>
    <t>10230001057</t>
  </si>
  <si>
    <t>القليعة</t>
  </si>
  <si>
    <t>الدريكيش ٤٢٨</t>
  </si>
  <si>
    <t>0988037651</t>
  </si>
  <si>
    <t>كاتب منشى</t>
  </si>
  <si>
    <t>معهد ادراة الاعمال</t>
  </si>
  <si>
    <t>ادراة اعمال</t>
  </si>
  <si>
    <t>رباب</t>
  </si>
  <si>
    <t>محرز</t>
  </si>
  <si>
    <t>ذكيه محمد</t>
  </si>
  <si>
    <t>10160013452</t>
  </si>
  <si>
    <t>الدلبة</t>
  </si>
  <si>
    <t>الصبورة8</t>
  </si>
  <si>
    <t>0994162791</t>
  </si>
  <si>
    <t>معهد نراقبين فتنيين</t>
  </si>
  <si>
    <t>ايهم أصف سلموني</t>
  </si>
  <si>
    <t>الموارد المائيه</t>
  </si>
  <si>
    <t>جامعة اللاذقبة</t>
  </si>
  <si>
    <t>مكلفة لدى بلدية بشبطة</t>
  </si>
  <si>
    <t>ربيع</t>
  </si>
  <si>
    <t>رمضان</t>
  </si>
  <si>
    <t>حريه ديب</t>
  </si>
  <si>
    <t>10180000917</t>
  </si>
  <si>
    <t>سبة</t>
  </si>
  <si>
    <t>قطيفة</t>
  </si>
  <si>
    <t>العروس11</t>
  </si>
  <si>
    <t>0997518240</t>
  </si>
  <si>
    <t>عامل ارشيف</t>
  </si>
  <si>
    <t>مكلف بالعمل لدى بلدية سبة</t>
  </si>
  <si>
    <t>ابتسام الفسخه</t>
  </si>
  <si>
    <t>10010047991</t>
  </si>
  <si>
    <t>خراب ٦٥٢</t>
  </si>
  <si>
    <t>0994724082</t>
  </si>
  <si>
    <t>دائرة الجرحى سابقاً</t>
  </si>
  <si>
    <t>اعلام</t>
  </si>
  <si>
    <t>الجامعة الافتراضية</t>
  </si>
  <si>
    <t>الاعلام</t>
  </si>
  <si>
    <t>علاقات عامة</t>
  </si>
  <si>
    <t>رزان</t>
  </si>
  <si>
    <t>ليلى سلمان</t>
  </si>
  <si>
    <t>10010039800</t>
  </si>
  <si>
    <t>الشيخ سعد</t>
  </si>
  <si>
    <t>الشيخ سعد11</t>
  </si>
  <si>
    <t>0931808758</t>
  </si>
  <si>
    <t>دراسات قانونية</t>
  </si>
  <si>
    <t>لؤي سعيد ابراهيم</t>
  </si>
  <si>
    <t>بلدية عين الزرقا</t>
  </si>
  <si>
    <t>حلب</t>
  </si>
  <si>
    <t>مكلفة لدى بلدية معيار شاكر</t>
  </si>
  <si>
    <t>نبيل</t>
  </si>
  <si>
    <t>رغدا</t>
  </si>
  <si>
    <t>10260031750</t>
  </si>
  <si>
    <t>الفنداره٢٣</t>
  </si>
  <si>
    <t>0933106407</t>
  </si>
  <si>
    <t>المكتب الفني الاستشاري</t>
  </si>
  <si>
    <t>هندسة مدنيه</t>
  </si>
  <si>
    <t>مائية</t>
  </si>
  <si>
    <t>رشا</t>
  </si>
  <si>
    <t>رشيده علي</t>
  </si>
  <si>
    <t>10120013821</t>
  </si>
  <si>
    <t>نواصيف ١٠</t>
  </si>
  <si>
    <t>0986596342</t>
  </si>
  <si>
    <t>مراقبة فنية</t>
  </si>
  <si>
    <t>معهد مرراقبين فنيين</t>
  </si>
  <si>
    <t>معهد المراقبين الفنيين</t>
  </si>
  <si>
    <t>شؤون فنية وبلديات</t>
  </si>
  <si>
    <t>رنا</t>
  </si>
  <si>
    <t>ديب</t>
  </si>
  <si>
    <t>انعام خليفه</t>
  </si>
  <si>
    <t>10010082075</t>
  </si>
  <si>
    <t>خراب ١٨١٧</t>
  </si>
  <si>
    <t>0934818352</t>
  </si>
  <si>
    <t>كلية الهندسة المدنية</t>
  </si>
  <si>
    <t>انشائي</t>
  </si>
  <si>
    <t>مرهج</t>
  </si>
  <si>
    <t>اميرة رمضان</t>
  </si>
  <si>
    <t>10220041286</t>
  </si>
  <si>
    <t>العوينية</t>
  </si>
  <si>
    <t>0988496945</t>
  </si>
  <si>
    <t>دائرة الموازنات</t>
  </si>
  <si>
    <t>تكنولوجيا معلومات واتصالات</t>
  </si>
  <si>
    <t>هندسة تكنولوجيا معلومات</t>
  </si>
  <si>
    <t>معلومات</t>
  </si>
  <si>
    <t>نديم</t>
  </si>
  <si>
    <t>العتيق</t>
  </si>
  <si>
    <t>سميره ابراهبم</t>
  </si>
  <si>
    <t>10260022776</t>
  </si>
  <si>
    <t>بغمليخ</t>
  </si>
  <si>
    <t>بغمليخ٦٤</t>
  </si>
  <si>
    <t>0992431944</t>
  </si>
  <si>
    <t>بيئة</t>
  </si>
  <si>
    <t>رنيم</t>
  </si>
  <si>
    <t>سميره مصطفى</t>
  </si>
  <si>
    <t>10260030327</t>
  </si>
  <si>
    <t>بيت القلع</t>
  </si>
  <si>
    <t>بيت القلع ٢</t>
  </si>
  <si>
    <t>0930130979</t>
  </si>
  <si>
    <t>دائرة الصيانة</t>
  </si>
  <si>
    <t>رئيس دائرة الصيانة</t>
  </si>
  <si>
    <t>هندسة ميكانيك</t>
  </si>
  <si>
    <t>الهندسة</t>
  </si>
  <si>
    <t>الميكانيك</t>
  </si>
  <si>
    <t>رنين</t>
  </si>
  <si>
    <t>درويش</t>
  </si>
  <si>
    <t>منى حسن</t>
  </si>
  <si>
    <t>10140007203</t>
  </si>
  <si>
    <t>1997</t>
  </si>
  <si>
    <t>خربة القبو18</t>
  </si>
  <si>
    <t>0997043692</t>
  </si>
  <si>
    <t>روان</t>
  </si>
  <si>
    <t>10170020963</t>
  </si>
  <si>
    <t>طرابلس الغرب ليبيا</t>
  </si>
  <si>
    <t>بساتين٢٧</t>
  </si>
  <si>
    <t>0983560890</t>
  </si>
  <si>
    <t>دائرة التقييم والمتابعة</t>
  </si>
  <si>
    <t>تكنولوجيا المعلومات والاتصالات</t>
  </si>
  <si>
    <t>ياسين</t>
  </si>
  <si>
    <t>منيرة صالح</t>
  </si>
  <si>
    <t>10260022568</t>
  </si>
  <si>
    <t>الدبيبية ٥</t>
  </si>
  <si>
    <t>0992486238</t>
  </si>
  <si>
    <t>دائرة التدريب والتأهيل</t>
  </si>
  <si>
    <t>شعبة المعرفة</t>
  </si>
  <si>
    <t>كومبيوتر</t>
  </si>
  <si>
    <t>وعد علي خيربك</t>
  </si>
  <si>
    <t>وزارة الاعلام</t>
  </si>
  <si>
    <t>معهد تقنيات حاسوب</t>
  </si>
  <si>
    <t>حاسوب</t>
  </si>
  <si>
    <t>روبا</t>
  </si>
  <si>
    <t>نشأت</t>
  </si>
  <si>
    <t>زين</t>
  </si>
  <si>
    <t>عزيزه زين</t>
  </si>
  <si>
    <t>10010036555</t>
  </si>
  <si>
    <t>خراب سلام</t>
  </si>
  <si>
    <t>خراب اسلام ٢٨</t>
  </si>
  <si>
    <t>0938203235</t>
  </si>
  <si>
    <t>المقسم</t>
  </si>
  <si>
    <t>عاملة مقسم</t>
  </si>
  <si>
    <t>روز</t>
  </si>
  <si>
    <t>مالك</t>
  </si>
  <si>
    <t>الشماس</t>
  </si>
  <si>
    <t>مادلين ديب</t>
  </si>
  <si>
    <t>10030007458</t>
  </si>
  <si>
    <t>رويسه١٠</t>
  </si>
  <si>
    <t>0947854578</t>
  </si>
  <si>
    <t>شادي وديع الزمار</t>
  </si>
  <si>
    <t>رونال</t>
  </si>
  <si>
    <t>لفلوف</t>
  </si>
  <si>
    <t>ابتسام عبدالله</t>
  </si>
  <si>
    <t>04130024362</t>
  </si>
  <si>
    <t>البارقية</t>
  </si>
  <si>
    <t>مشفى الحصن</t>
  </si>
  <si>
    <t>عين الباردة 12</t>
  </si>
  <si>
    <t>0982880717</t>
  </si>
  <si>
    <t>هندسه مدنية</t>
  </si>
  <si>
    <t>موارد مائية</t>
  </si>
  <si>
    <t>مكلفة لدى بلدية المتراس</t>
  </si>
  <si>
    <t>ريم</t>
  </si>
  <si>
    <t>جرجس</t>
  </si>
  <si>
    <t>نصار</t>
  </si>
  <si>
    <t>روعة ندور</t>
  </si>
  <si>
    <t>10010057377</t>
  </si>
  <si>
    <t>الفيحاء 21</t>
  </si>
  <si>
    <t>0935468311</t>
  </si>
  <si>
    <t>معهد</t>
  </si>
  <si>
    <t>فاتن سليمان</t>
  </si>
  <si>
    <t>03110074002</t>
  </si>
  <si>
    <t>بريطانيا</t>
  </si>
  <si>
    <t>بيت عمران زينه٢٦</t>
  </si>
  <si>
    <t>0944937754</t>
  </si>
  <si>
    <t>جيوتكنيك</t>
  </si>
  <si>
    <t>فرج</t>
  </si>
  <si>
    <t>نادية بدران</t>
  </si>
  <si>
    <t>10250005097</t>
  </si>
  <si>
    <t>حارة الوقف ٥</t>
  </si>
  <si>
    <t>0935078278</t>
  </si>
  <si>
    <t>انشائية</t>
  </si>
  <si>
    <t>سقر</t>
  </si>
  <si>
    <t>عدنية المحسن</t>
  </si>
  <si>
    <t>05150049855</t>
  </si>
  <si>
    <t>حيالين</t>
  </si>
  <si>
    <t>حيالين ٤</t>
  </si>
  <si>
    <t>0938476893</t>
  </si>
  <si>
    <t>رئيس دائرة التنظيم المؤسساتي</t>
  </si>
  <si>
    <t>ماجستير تنمية إدارية_شهادة عليا بالادارة العامة</t>
  </si>
  <si>
    <t>كلية العلوم الإدارية والاقتصادية</t>
  </si>
  <si>
    <t>إدارة أعمال</t>
  </si>
  <si>
    <t>مصطفى</t>
  </si>
  <si>
    <t>سهيلا</t>
  </si>
  <si>
    <t>10280000288</t>
  </si>
  <si>
    <t>عرقوب سلمون ٤</t>
  </si>
  <si>
    <t>0997321581</t>
  </si>
  <si>
    <t>الأمين العام</t>
  </si>
  <si>
    <t>أمين عام المحافظة</t>
  </si>
  <si>
    <t>المعهد الوطني للإدارة العامة - ماجستير تنمية إدارية</t>
  </si>
  <si>
    <t>المعهد الوطني للإدارة العامة</t>
  </si>
  <si>
    <t>تنمية إدارية</t>
  </si>
  <si>
    <t>ريما</t>
  </si>
  <si>
    <t>بلال</t>
  </si>
  <si>
    <t>سعاد بلال</t>
  </si>
  <si>
    <t>10250010165</t>
  </si>
  <si>
    <t>جورة الجواميس</t>
  </si>
  <si>
    <t>0997304732</t>
  </si>
  <si>
    <t>الديوان</t>
  </si>
  <si>
    <t>عاملة طباعة</t>
  </si>
  <si>
    <t>شوباصي</t>
  </si>
  <si>
    <t>وزيرة محسن</t>
  </si>
  <si>
    <t>10010098437</t>
  </si>
  <si>
    <t>دحباش18</t>
  </si>
  <si>
    <t>0932422848</t>
  </si>
  <si>
    <t>دائرة مكتب السيد المحافظ</t>
  </si>
  <si>
    <t>زويا</t>
  </si>
  <si>
    <t>حمادي</t>
  </si>
  <si>
    <t>عاهده حمادي</t>
  </si>
  <si>
    <t>06090003598</t>
  </si>
  <si>
    <t>جبلة</t>
  </si>
  <si>
    <t>حمام واصل ١٧</t>
  </si>
  <si>
    <t>0932645600</t>
  </si>
  <si>
    <t>مراقبيين فنيين</t>
  </si>
  <si>
    <t>مكلفة في بلدية دوير الشيخ سعد</t>
  </si>
  <si>
    <t>زياد</t>
  </si>
  <si>
    <t>ليلى عيسى</t>
  </si>
  <si>
    <t>10010159256</t>
  </si>
  <si>
    <t>بزاق٣</t>
  </si>
  <si>
    <t>0999835018</t>
  </si>
  <si>
    <t>فرز معاهد تقنية</t>
  </si>
  <si>
    <t>إيفا سمير شاهين</t>
  </si>
  <si>
    <t>الهجره والجوازات</t>
  </si>
  <si>
    <t>رسم وإنشاء هندسي</t>
  </si>
  <si>
    <t>مفيد</t>
  </si>
  <si>
    <t>سهام جمال</t>
  </si>
  <si>
    <t>10010022387</t>
  </si>
  <si>
    <t>خراب١٥٤١</t>
  </si>
  <si>
    <t>0991177224</t>
  </si>
  <si>
    <t>المكتب الخاص للسيد المحافظ</t>
  </si>
  <si>
    <t>ميس يوسف رحال</t>
  </si>
  <si>
    <t>زينب</t>
  </si>
  <si>
    <t>خضور</t>
  </si>
  <si>
    <t>كوثر صارم</t>
  </si>
  <si>
    <t>10110005902</t>
  </si>
  <si>
    <t>حكر الشيخ عمران 2</t>
  </si>
  <si>
    <t>0981420208</t>
  </si>
  <si>
    <t>زينة</t>
  </si>
  <si>
    <t>مساء دباشي</t>
  </si>
  <si>
    <t>10020011137</t>
  </si>
  <si>
    <t>كفرفو ١</t>
  </si>
  <si>
    <t>0969450996</t>
  </si>
  <si>
    <t>دائرة الدراسات والشؤون التقنية</t>
  </si>
  <si>
    <t>شعبة الخدمات التقنية</t>
  </si>
  <si>
    <t>معاون مدير معلوماتية</t>
  </si>
  <si>
    <t>زينه</t>
  </si>
  <si>
    <t>علما سليمان</t>
  </si>
  <si>
    <t>10160076585</t>
  </si>
  <si>
    <t>بشرائيل ٣٧</t>
  </si>
  <si>
    <t>0938334739</t>
  </si>
  <si>
    <t>مجد علي سليمان</t>
  </si>
  <si>
    <t>تكليف لدى مديرية الخدمات الفنية بطرطوس</t>
  </si>
  <si>
    <t>سامر</t>
  </si>
  <si>
    <t>أحمد</t>
  </si>
  <si>
    <t>منيره خليل</t>
  </si>
  <si>
    <t>10010006738</t>
  </si>
  <si>
    <t>السويداء</t>
  </si>
  <si>
    <t>الغمقة٣</t>
  </si>
  <si>
    <t>0932433750</t>
  </si>
  <si>
    <t>الفئة الثالثة</t>
  </si>
  <si>
    <t>سائر</t>
  </si>
  <si>
    <t>دغمة</t>
  </si>
  <si>
    <t>زاهية شاهين</t>
  </si>
  <si>
    <t>10040007963</t>
  </si>
  <si>
    <t>سمكه</t>
  </si>
  <si>
    <t>سمكة٩</t>
  </si>
  <si>
    <t>0994259184</t>
  </si>
  <si>
    <t>قسم الجاهزية سابقا</t>
  </si>
  <si>
    <t>حارس</t>
  </si>
  <si>
    <t>سراب</t>
  </si>
  <si>
    <t>ابتسام على</t>
  </si>
  <si>
    <t>10170021776</t>
  </si>
  <si>
    <t>كفرون حيدر ٢٥</t>
  </si>
  <si>
    <t>0934552943</t>
  </si>
  <si>
    <t>شعبة تبسيط الاجراءات</t>
  </si>
  <si>
    <t>هنسة مدنية</t>
  </si>
  <si>
    <t>سعاد</t>
  </si>
  <si>
    <t>وضحه سميره</t>
  </si>
  <si>
    <t>10010052085</t>
  </si>
  <si>
    <t>قطيلبيه</t>
  </si>
  <si>
    <t>الجروية ٢</t>
  </si>
  <si>
    <t>0994485499</t>
  </si>
  <si>
    <t>معهد تقنيات الحاسوب</t>
  </si>
  <si>
    <t>صيانة</t>
  </si>
  <si>
    <t>مكلفة لدى بلدية الجروية</t>
  </si>
  <si>
    <t>سلمى</t>
  </si>
  <si>
    <t>شيحان</t>
  </si>
  <si>
    <t>ندى حسن</t>
  </si>
  <si>
    <t>فنزويلا التيكري</t>
  </si>
  <si>
    <t>بيت شيحان ٨</t>
  </si>
  <si>
    <t>0991601684</t>
  </si>
  <si>
    <t>رامي محمد حسن</t>
  </si>
  <si>
    <t>الاسكان العسكري</t>
  </si>
  <si>
    <t>هندسة بيئية</t>
  </si>
  <si>
    <t>مكلفة لدى بلدية نقيب</t>
  </si>
  <si>
    <t>سلوى</t>
  </si>
  <si>
    <t>العباس</t>
  </si>
  <si>
    <t>وجيهه عيسى</t>
  </si>
  <si>
    <t>05160001399</t>
  </si>
  <si>
    <t>جب رملة</t>
  </si>
  <si>
    <t>الصفصافة 36</t>
  </si>
  <si>
    <t>0935405295</t>
  </si>
  <si>
    <t>شؤون ادارية</t>
  </si>
  <si>
    <t>ادارة اعمال</t>
  </si>
  <si>
    <t>الغاب</t>
  </si>
  <si>
    <t>حسن محمد العكش</t>
  </si>
  <si>
    <t>المؤوسسة العامة للتبغ</t>
  </si>
  <si>
    <t>معهد التقاني للادارة الاعمال والتسويق</t>
  </si>
  <si>
    <t>ادارة</t>
  </si>
  <si>
    <t>مكلفة لدى حماه بلدية الصفافة</t>
  </si>
  <si>
    <t>سماهر</t>
  </si>
  <si>
    <t>نديمة شاكر</t>
  </si>
  <si>
    <t>10280001358</t>
  </si>
  <si>
    <t>القمصية30</t>
  </si>
  <si>
    <t>0988414053</t>
  </si>
  <si>
    <t>شعبة مجلس المحافظة</t>
  </si>
  <si>
    <t>جامعة الادقية</t>
  </si>
  <si>
    <t>لابوجد</t>
  </si>
  <si>
    <t>سمر</t>
  </si>
  <si>
    <t>زهرة</t>
  </si>
  <si>
    <t>مريم دغمة</t>
  </si>
  <si>
    <t>10260004671</t>
  </si>
  <si>
    <t>بريصين</t>
  </si>
  <si>
    <t>بريصين2</t>
  </si>
  <si>
    <t>0939017353</t>
  </si>
  <si>
    <t>تعيين في قسم  الجاهزية سابقاً</t>
  </si>
  <si>
    <t>10250009924</t>
  </si>
  <si>
    <t>حارة الوقف</t>
  </si>
  <si>
    <t>0990290824</t>
  </si>
  <si>
    <t>أرمل</t>
  </si>
  <si>
    <t>مصارف</t>
  </si>
  <si>
    <t>معهد تجاري</t>
  </si>
  <si>
    <t>سميره</t>
  </si>
  <si>
    <t>رنجوس حسن</t>
  </si>
  <si>
    <t>10230026876</t>
  </si>
  <si>
    <t>عين بالوج ١٠</t>
  </si>
  <si>
    <t>0981093320</t>
  </si>
  <si>
    <t>فايز علي سليمان</t>
  </si>
  <si>
    <t>مكلف لدى بلدة دوير رسلان</t>
  </si>
  <si>
    <t>سنا</t>
  </si>
  <si>
    <t>غانم</t>
  </si>
  <si>
    <t>مريم العلي</t>
  </si>
  <si>
    <t>10010056002</t>
  </si>
  <si>
    <t>الرابية 382</t>
  </si>
  <si>
    <t>0994601019</t>
  </si>
  <si>
    <t>محمد علي حاج معلا</t>
  </si>
  <si>
    <t>الامانة العامة للمحافظة طرطوس</t>
  </si>
  <si>
    <t>معهد حاسوب</t>
  </si>
  <si>
    <t>سناء</t>
  </si>
  <si>
    <t>اسمهان عيسى</t>
  </si>
  <si>
    <t>05190014063</t>
  </si>
  <si>
    <t>عين الكرم ٥١</t>
  </si>
  <si>
    <t>0997032977</t>
  </si>
  <si>
    <t>معاون رئيس المكتب الإعلامي</t>
  </si>
  <si>
    <t>ادب فرنسي والمعهد الوطني للادارة العامة</t>
  </si>
  <si>
    <t>سوزان</t>
  </si>
  <si>
    <t>عبداللطيف</t>
  </si>
  <si>
    <t>سعده رمضان</t>
  </si>
  <si>
    <t>10010071930</t>
  </si>
  <si>
    <t>بيلة12</t>
  </si>
  <si>
    <t>0932745697</t>
  </si>
  <si>
    <t>عهد</t>
  </si>
  <si>
    <t>ليلى علي</t>
  </si>
  <si>
    <t>10160051993</t>
  </si>
  <si>
    <t>رويسه حمدان٥</t>
  </si>
  <si>
    <t>0941945777</t>
  </si>
  <si>
    <t>سوسن</t>
  </si>
  <si>
    <t>فاطمه حمود</t>
  </si>
  <si>
    <t>10280013252</t>
  </si>
  <si>
    <t>الكفرون ١٣</t>
  </si>
  <si>
    <t>يحيى</t>
  </si>
  <si>
    <t>نوال أحمد</t>
  </si>
  <si>
    <t>10260036382</t>
  </si>
  <si>
    <t>البرانية ٥٨٦</t>
  </si>
  <si>
    <t>0999794525</t>
  </si>
  <si>
    <t>سونيا</t>
  </si>
  <si>
    <t>نوفه هزيم</t>
  </si>
  <si>
    <t>10230004498</t>
  </si>
  <si>
    <t>دوير رسلان٣٢</t>
  </si>
  <si>
    <t>0995405463</t>
  </si>
  <si>
    <t>مكلفة لدى بلدة دوير رسلان</t>
  </si>
  <si>
    <t>شاديا</t>
  </si>
  <si>
    <t>تمرة وسوف</t>
  </si>
  <si>
    <t>10010146532</t>
  </si>
  <si>
    <t>شباط</t>
  </si>
  <si>
    <t>شباط ٣</t>
  </si>
  <si>
    <t>0930583794</t>
  </si>
  <si>
    <t>مراسلات</t>
  </si>
  <si>
    <t>شيراز</t>
  </si>
  <si>
    <t>ونوس</t>
  </si>
  <si>
    <t>مطيعه سلوم</t>
  </si>
  <si>
    <t>10010105582</t>
  </si>
  <si>
    <t>النقيب</t>
  </si>
  <si>
    <t>النقيب38</t>
  </si>
  <si>
    <t>0935468028</t>
  </si>
  <si>
    <t>مكلفة لدى بلدة النقيب</t>
  </si>
  <si>
    <t>صبا</t>
  </si>
  <si>
    <t>سميرة حامد</t>
  </si>
  <si>
    <t>10010011057</t>
  </si>
  <si>
    <t>المحطة ٢٢٤</t>
  </si>
  <si>
    <t>0999837164</t>
  </si>
  <si>
    <t>رئيس دائرة التدريب والتأهيل</t>
  </si>
  <si>
    <t>صديقة</t>
  </si>
  <si>
    <t>نديمه علي</t>
  </si>
  <si>
    <t>10010095753</t>
  </si>
  <si>
    <t>خراب١٣٦٩</t>
  </si>
  <si>
    <t>0994204352</t>
  </si>
  <si>
    <t>طارق</t>
  </si>
  <si>
    <t>اسكندر</t>
  </si>
  <si>
    <t>سمية سليمان</t>
  </si>
  <si>
    <t>10160153969</t>
  </si>
  <si>
    <t>المأب٦٨</t>
  </si>
  <si>
    <t>0932936495</t>
  </si>
  <si>
    <t>معهد هندسي</t>
  </si>
  <si>
    <t>نغم ابراهيم ابراهيم</t>
  </si>
  <si>
    <t>التربية</t>
  </si>
  <si>
    <t>مكلف لدى مجلس مدينة صافيتا</t>
  </si>
  <si>
    <t>طالب</t>
  </si>
  <si>
    <t>العلي</t>
  </si>
  <si>
    <t>مروش حمود</t>
  </si>
  <si>
    <t>10260014757</t>
  </si>
  <si>
    <t>مجيدل</t>
  </si>
  <si>
    <t>مجيدل20</t>
  </si>
  <si>
    <t>0933997021</t>
  </si>
  <si>
    <t>دائرة الاليات</t>
  </si>
  <si>
    <t>شعبة المرٱب</t>
  </si>
  <si>
    <t>طوني</t>
  </si>
  <si>
    <t>عبيد</t>
  </si>
  <si>
    <t>نهاد زينون</t>
  </si>
  <si>
    <t>10160002956</t>
  </si>
  <si>
    <t>صافيتا التل ١٧</t>
  </si>
  <si>
    <t>0999846292</t>
  </si>
  <si>
    <t>شعبة الدعم الفني والصيانة</t>
  </si>
  <si>
    <t>شبكات</t>
  </si>
  <si>
    <t>عاصم</t>
  </si>
  <si>
    <t>عزت</t>
  </si>
  <si>
    <t>يمنا خطيب</t>
  </si>
  <si>
    <t>10160104746</t>
  </si>
  <si>
    <t>بويضة السويقات</t>
  </si>
  <si>
    <t>بويضة السويقات ٣</t>
  </si>
  <si>
    <t>0955577291</t>
  </si>
  <si>
    <t>مساج طبوغرافيا</t>
  </si>
  <si>
    <t>نور محمد يوسف</t>
  </si>
  <si>
    <t>معهد المساحة</t>
  </si>
  <si>
    <t>تكليف لدى بلدية بويضه السويقات</t>
  </si>
  <si>
    <t>وصيفة محمود</t>
  </si>
  <si>
    <t>10160030075</t>
  </si>
  <si>
    <t>صافيتا الشرقية ٣٨٢</t>
  </si>
  <si>
    <t>0936640830</t>
  </si>
  <si>
    <t>رئيس دائرة الدراسات القانونية</t>
  </si>
  <si>
    <t>ماجستير بالعلوم الإدارية والمالية</t>
  </si>
  <si>
    <t>عبدالهادي</t>
  </si>
  <si>
    <t>حمزه</t>
  </si>
  <si>
    <t>10040005552</t>
  </si>
  <si>
    <t>0938755573</t>
  </si>
  <si>
    <t>سائق بلدوزر</t>
  </si>
  <si>
    <t>عبير</t>
  </si>
  <si>
    <t>حافظ</t>
  </si>
  <si>
    <t>عربية سليمان</t>
  </si>
  <si>
    <t>10020007980</t>
  </si>
  <si>
    <t>خراب٢١٩</t>
  </si>
  <si>
    <t>0934958408</t>
  </si>
  <si>
    <t>عاملة حاسوب</t>
  </si>
  <si>
    <t>تكليف لدى بلدة الصفصافة</t>
  </si>
  <si>
    <t>امان مبارك</t>
  </si>
  <si>
    <t>10010042383</t>
  </si>
  <si>
    <t>خربة الريح</t>
  </si>
  <si>
    <t>خربة الريح ٥</t>
  </si>
  <si>
    <t>0947309912</t>
  </si>
  <si>
    <t>ندى اسماعيل</t>
  </si>
  <si>
    <t>10010105782</t>
  </si>
  <si>
    <t>مجدلون البحر6</t>
  </si>
  <si>
    <t>0998192130</t>
  </si>
  <si>
    <t>نزار حسن ابراهيم</t>
  </si>
  <si>
    <t>مالية الدريكيش</t>
  </si>
  <si>
    <t>مكلفة لدى بلدية بقعو</t>
  </si>
  <si>
    <t>عدي</t>
  </si>
  <si>
    <t>زاهر</t>
  </si>
  <si>
    <t>خطيرة برهوم</t>
  </si>
  <si>
    <t>10140001078</t>
  </si>
  <si>
    <t>حمام واصل ٢٤</t>
  </si>
  <si>
    <t>0955431528</t>
  </si>
  <si>
    <t>مدير المعلوماتية</t>
  </si>
  <si>
    <t>شبكات ونظم معلومات</t>
  </si>
  <si>
    <t>عقيل</t>
  </si>
  <si>
    <t>رسميه قاسم</t>
  </si>
  <si>
    <t>10280004014</t>
  </si>
  <si>
    <t>بلاط</t>
  </si>
  <si>
    <t>بلاط10</t>
  </si>
  <si>
    <t>0938391262</t>
  </si>
  <si>
    <t>وسيلة محمد حسن</t>
  </si>
  <si>
    <t>الريجة</t>
  </si>
  <si>
    <t>علا</t>
  </si>
  <si>
    <t>حسون</t>
  </si>
  <si>
    <t>سميرة معروف</t>
  </si>
  <si>
    <t>10010010973</t>
  </si>
  <si>
    <t>دحباش2</t>
  </si>
  <si>
    <t>0953266602</t>
  </si>
  <si>
    <t>مكلفة بالعمل لدى بلدية الشيخ صعد</t>
  </si>
  <si>
    <t>منى علي</t>
  </si>
  <si>
    <t>10100024759</t>
  </si>
  <si>
    <t>حدندوش1</t>
  </si>
  <si>
    <t>0995275716</t>
  </si>
  <si>
    <t>شعبة المكتب التنفيذي</t>
  </si>
  <si>
    <t>الادقية</t>
  </si>
  <si>
    <t>علاء</t>
  </si>
  <si>
    <t>الهام حسن</t>
  </si>
  <si>
    <t>10250011553</t>
  </si>
  <si>
    <t>بمجرة ٣</t>
  </si>
  <si>
    <t>0992442807</t>
  </si>
  <si>
    <t>شعبة العاملين</t>
  </si>
  <si>
    <t>صبا عبدالكريم محمد</t>
  </si>
  <si>
    <t>قموحي</t>
  </si>
  <si>
    <t>عسكرية جواد</t>
  </si>
  <si>
    <t>04120005859</t>
  </si>
  <si>
    <t>مشرفة ٤١</t>
  </si>
  <si>
    <t>0994977561</t>
  </si>
  <si>
    <t>عامل كهرباء</t>
  </si>
  <si>
    <t>نمير</t>
  </si>
  <si>
    <t>ابتسام علي</t>
  </si>
  <si>
    <t>10100012959</t>
  </si>
  <si>
    <t>جارة الوادي</t>
  </si>
  <si>
    <t>جارة الوادي ٤٩</t>
  </si>
  <si>
    <t>0938194488</t>
  </si>
  <si>
    <t>سلهب</t>
  </si>
  <si>
    <t>مجدلين محمد</t>
  </si>
  <si>
    <t>10040025014</t>
  </si>
  <si>
    <t>المنية</t>
  </si>
  <si>
    <t>المنية ٤٠</t>
  </si>
  <si>
    <t>0934029909</t>
  </si>
  <si>
    <t>مطور نظم معلومات</t>
  </si>
  <si>
    <t>هندسة معلوماتية</t>
  </si>
  <si>
    <t>ذكاء صنعي</t>
  </si>
  <si>
    <t>نبيهة علي</t>
  </si>
  <si>
    <t>10160057166</t>
  </si>
  <si>
    <t>بسورم 22</t>
  </si>
  <si>
    <t>0932839017</t>
  </si>
  <si>
    <t>عامل</t>
  </si>
  <si>
    <t>لايوجد</t>
  </si>
  <si>
    <t>لا يوجد</t>
  </si>
  <si>
    <t>الاسمر</t>
  </si>
  <si>
    <t>ألفت الحسن</t>
  </si>
  <si>
    <t>10160138216</t>
  </si>
  <si>
    <t>المعيصرات</t>
  </si>
  <si>
    <t>زبرقان٢</t>
  </si>
  <si>
    <t>0931445193</t>
  </si>
  <si>
    <t>هندسة طاقة كهرباء</t>
  </si>
  <si>
    <t>كلية الهندسة الكهربائية</t>
  </si>
  <si>
    <t>هندسة طاقة كهربائية</t>
  </si>
  <si>
    <t>مكلف في معمل وادي الهدة</t>
  </si>
  <si>
    <t>وفاء عبدالرحمن</t>
  </si>
  <si>
    <t>10010023556</t>
  </si>
  <si>
    <t>بدرية ٢١</t>
  </si>
  <si>
    <t>0933727968</t>
  </si>
  <si>
    <t>مكلف لدى عضو مكتب تنفيذي</t>
  </si>
  <si>
    <t>دنيا</t>
  </si>
  <si>
    <t>منتهى قاسم</t>
  </si>
  <si>
    <t>10010080940</t>
  </si>
  <si>
    <t>الخراب ٢٤١٠</t>
  </si>
  <si>
    <t>0933240850</t>
  </si>
  <si>
    <t>شعبة المراب</t>
  </si>
  <si>
    <t>حسيان</t>
  </si>
  <si>
    <t>نهاد بلول</t>
  </si>
  <si>
    <t>10020018712</t>
  </si>
  <si>
    <t>دير الحجر 8</t>
  </si>
  <si>
    <t>0991212900</t>
  </si>
  <si>
    <t>مدير المناطق الصناعية والحرفية</t>
  </si>
  <si>
    <t>مرعي</t>
  </si>
  <si>
    <t>هند محمد</t>
  </si>
  <si>
    <t>10050004075</t>
  </si>
  <si>
    <t>الكريمة</t>
  </si>
  <si>
    <t>السوده</t>
  </si>
  <si>
    <t>السودة 5</t>
  </si>
  <si>
    <t>0932741747</t>
  </si>
  <si>
    <t>عامل خاسوب</t>
  </si>
  <si>
    <t>مكلف لدى بلدية الكريمة</t>
  </si>
  <si>
    <t>محسن</t>
  </si>
  <si>
    <t>عفاف ديوب</t>
  </si>
  <si>
    <t>10280008165</t>
  </si>
  <si>
    <t>الموشة</t>
  </si>
  <si>
    <t>الموشه١٨</t>
  </si>
  <si>
    <t>0937688083</t>
  </si>
  <si>
    <t>عجوز</t>
  </si>
  <si>
    <t>ناديا اسعد</t>
  </si>
  <si>
    <t>دحباش٢٥</t>
  </si>
  <si>
    <t>0994781515</t>
  </si>
  <si>
    <t>دائرة النظافة</t>
  </si>
  <si>
    <t>عامل نظافة</t>
  </si>
  <si>
    <t>هيفاء علي</t>
  </si>
  <si>
    <t>10160131079</t>
  </si>
  <si>
    <t>حكر الشيخ محمود٦</t>
  </si>
  <si>
    <t>0960097567</t>
  </si>
  <si>
    <t>هيثم</t>
  </si>
  <si>
    <t>سعاده سليمان</t>
  </si>
  <si>
    <t>10220029564</t>
  </si>
  <si>
    <t>دوير العوينية</t>
  </si>
  <si>
    <t>0983214601</t>
  </si>
  <si>
    <t>محطة الدريكيش</t>
  </si>
  <si>
    <t>عواطف</t>
  </si>
  <si>
    <t>فهيمه بلال</t>
  </si>
  <si>
    <t>10100011907</t>
  </si>
  <si>
    <t>الحاطرية</t>
  </si>
  <si>
    <t>شمسين٥</t>
  </si>
  <si>
    <t>0999375562</t>
  </si>
  <si>
    <t>مكلفة لدى بلدية الطواحين</t>
  </si>
  <si>
    <t>محمد معين</t>
  </si>
  <si>
    <t>قبيطري</t>
  </si>
  <si>
    <t>معينة قبيطري</t>
  </si>
  <si>
    <t>07240133691</t>
  </si>
  <si>
    <t>المحطة 252</t>
  </si>
  <si>
    <t>0993721004</t>
  </si>
  <si>
    <t>غنوة</t>
  </si>
  <si>
    <t>ندى ابراهيم</t>
  </si>
  <si>
    <t>10240003809</t>
  </si>
  <si>
    <t>فجليت ٣٦</t>
  </si>
  <si>
    <t>0932023799</t>
  </si>
  <si>
    <t>دائرة العقود والرخص</t>
  </si>
  <si>
    <t>فيزياء</t>
  </si>
  <si>
    <t>إدارة</t>
  </si>
  <si>
    <t>إدارة عامة</t>
  </si>
  <si>
    <t>إبراهيم</t>
  </si>
  <si>
    <t>زاهي عباس</t>
  </si>
  <si>
    <t>10090027804</t>
  </si>
  <si>
    <t>زوبه١٦</t>
  </si>
  <si>
    <t>0932424773</t>
  </si>
  <si>
    <t>دائرة الشهداء والمفقودين سابقاً</t>
  </si>
  <si>
    <t>رئيس دائرة الشهداء سابقاً</t>
  </si>
  <si>
    <t>أدب انكليزي</t>
  </si>
  <si>
    <t>ترجمة</t>
  </si>
  <si>
    <t>غياث</t>
  </si>
  <si>
    <t>صفيه إبراهيم</t>
  </si>
  <si>
    <t>10010005654</t>
  </si>
  <si>
    <t>الرمل٣٢٤</t>
  </si>
  <si>
    <t>0988515106</t>
  </si>
  <si>
    <t>مديرية الرقابة الداخلية</t>
  </si>
  <si>
    <t>مدير مديرية الرقابة الداخلية</t>
  </si>
  <si>
    <t>رولا صلاح ميا</t>
  </si>
  <si>
    <t>غيثاء</t>
  </si>
  <si>
    <t>شدود</t>
  </si>
  <si>
    <t>عدره ابو رحال</t>
  </si>
  <si>
    <t>10010148558</t>
  </si>
  <si>
    <t>دحباش ٥٩</t>
  </si>
  <si>
    <t>0993231451</t>
  </si>
  <si>
    <t>طلال اسكندر قباع</t>
  </si>
  <si>
    <t>وحدة تعبئة مياه السن</t>
  </si>
  <si>
    <t>الحقوق</t>
  </si>
  <si>
    <t>فاتنة</t>
  </si>
  <si>
    <t>عماد</t>
  </si>
  <si>
    <t>اليوسف</t>
  </si>
  <si>
    <t>منى عمران</t>
  </si>
  <si>
    <t>04050036070</t>
  </si>
  <si>
    <t>دوما</t>
  </si>
  <si>
    <t>العنازه100</t>
  </si>
  <si>
    <t>0998478040</t>
  </si>
  <si>
    <t>مكلفة لدى بلدية العنازة</t>
  </si>
  <si>
    <t>فادي</t>
  </si>
  <si>
    <t>جبر</t>
  </si>
  <si>
    <t>اميرة اسماعيل</t>
  </si>
  <si>
    <t>33000438781</t>
  </si>
  <si>
    <t>الكسوة ٤٩١</t>
  </si>
  <si>
    <t>0988646485</t>
  </si>
  <si>
    <t>فاضل</t>
  </si>
  <si>
    <t>حنوش</t>
  </si>
  <si>
    <t>جوهينا حجار</t>
  </si>
  <si>
    <t>10170022076</t>
  </si>
  <si>
    <t>كفرون زريق</t>
  </si>
  <si>
    <t>كفرون زريق ١٥</t>
  </si>
  <si>
    <t>0937316257</t>
  </si>
  <si>
    <t>مهندس كمبيوتر</t>
  </si>
  <si>
    <t>كمبيوتر</t>
  </si>
  <si>
    <t>كلية هندسة الحاسبات</t>
  </si>
  <si>
    <t>كمليوتر</t>
  </si>
  <si>
    <t>مكلف لدى بلدة مشتى الحلو</t>
  </si>
  <si>
    <t>فدوى</t>
  </si>
  <si>
    <t>هاجر اسماعيل</t>
  </si>
  <si>
    <t>10010134777</t>
  </si>
  <si>
    <t>درعا</t>
  </si>
  <si>
    <t>الساحة ١٨٦</t>
  </si>
  <si>
    <t>0933763077</t>
  </si>
  <si>
    <t>البطاقه الذكية سابقاً</t>
  </si>
  <si>
    <t>هندسة مدنية - طبوغرافيا</t>
  </si>
  <si>
    <t>فراس</t>
  </si>
  <si>
    <t>عادل</t>
  </si>
  <si>
    <t>سقور</t>
  </si>
  <si>
    <t>فاتن البيطار</t>
  </si>
  <si>
    <t>10010014173</t>
  </si>
  <si>
    <t>خراب412</t>
  </si>
  <si>
    <t>0937244715</t>
  </si>
  <si>
    <t>مراقب دوام</t>
  </si>
  <si>
    <t>مسابقة مسرحين</t>
  </si>
  <si>
    <t>سياحة</t>
  </si>
  <si>
    <t>صبا محمود داود</t>
  </si>
  <si>
    <t>مديرية التربية في طرطوس</t>
  </si>
  <si>
    <t>معهد سياحة</t>
  </si>
  <si>
    <t>فريال</t>
  </si>
  <si>
    <t>سهيله حسن</t>
  </si>
  <si>
    <t>10040011457</t>
  </si>
  <si>
    <t>يحمور ٤٢</t>
  </si>
  <si>
    <t>0988605702</t>
  </si>
  <si>
    <t>شعبة مراسلات خارجية</t>
  </si>
  <si>
    <t>متقاعد</t>
  </si>
  <si>
    <t>زهية حبيب</t>
  </si>
  <si>
    <t>10010137128</t>
  </si>
  <si>
    <t>بدرية ٦</t>
  </si>
  <si>
    <t>0992618718</t>
  </si>
  <si>
    <t>رئيس دائرة الديوان العام</t>
  </si>
  <si>
    <t>لغة عربية</t>
  </si>
  <si>
    <t>كلية الاداب والعلوم الإنسانية</t>
  </si>
  <si>
    <t>قصي</t>
  </si>
  <si>
    <t>الجندي</t>
  </si>
  <si>
    <t>هيام ابراهيم</t>
  </si>
  <si>
    <t>10030008085</t>
  </si>
  <si>
    <t>عورو</t>
  </si>
  <si>
    <t>عورو ١</t>
  </si>
  <si>
    <t>مكلف لدى بلدة السودا</t>
  </si>
  <si>
    <t>كاترين</t>
  </si>
  <si>
    <t>منيرة محمد</t>
  </si>
  <si>
    <t>06090035317</t>
  </si>
  <si>
    <t>حصنان</t>
  </si>
  <si>
    <t>جنينة رسلا ٦٧</t>
  </si>
  <si>
    <t>0930720164</t>
  </si>
  <si>
    <t>مكلفة لدى مجلس مدينة الدريكيش</t>
  </si>
  <si>
    <t>كارلا</t>
  </si>
  <si>
    <t>رندة زخور</t>
  </si>
  <si>
    <t>10160139127</t>
  </si>
  <si>
    <t>السيسنية</t>
  </si>
  <si>
    <t>عين الجرن</t>
  </si>
  <si>
    <t>السيسنية ٢٩</t>
  </si>
  <si>
    <t>0993443126</t>
  </si>
  <si>
    <t>هندسة مدنية إنشائية</t>
  </si>
  <si>
    <t>إنشائية</t>
  </si>
  <si>
    <t>مكلفة لدى بلدة السيسنية</t>
  </si>
  <si>
    <t>لارا</t>
  </si>
  <si>
    <t>بشير</t>
  </si>
  <si>
    <t>منى خضر</t>
  </si>
  <si>
    <t>10010075126</t>
  </si>
  <si>
    <t>خراب ١٠٦٦</t>
  </si>
  <si>
    <t>0993822922</t>
  </si>
  <si>
    <t>حواسيب</t>
  </si>
  <si>
    <t>معهد حواسيب</t>
  </si>
  <si>
    <t>لبنه</t>
  </si>
  <si>
    <t>صافتلي</t>
  </si>
  <si>
    <t>هنى طحبوش</t>
  </si>
  <si>
    <t>10160042207</t>
  </si>
  <si>
    <t>تل الترمس</t>
  </si>
  <si>
    <t>0935548047</t>
  </si>
  <si>
    <t>الموازنة المستقلة</t>
  </si>
  <si>
    <t>معهد تجاري مصرفي</t>
  </si>
  <si>
    <t>لبنى</t>
  </si>
  <si>
    <t>سمارة شحود</t>
  </si>
  <si>
    <t>06090099712</t>
  </si>
  <si>
    <t>مركز منطقة جبلة</t>
  </si>
  <si>
    <t>بسيسين ٧١</t>
  </si>
  <si>
    <t>0933804212</t>
  </si>
  <si>
    <t>تصميم وإنتاج</t>
  </si>
  <si>
    <t>لما</t>
  </si>
  <si>
    <t>سميره مخول</t>
  </si>
  <si>
    <t>10160101218</t>
  </si>
  <si>
    <t>بيت القلع١٠</t>
  </si>
  <si>
    <t>0935726251</t>
  </si>
  <si>
    <t>معهد مصرفي تجاري</t>
  </si>
  <si>
    <t>سامر علي احمد</t>
  </si>
  <si>
    <t>مديرية الثقافة</t>
  </si>
  <si>
    <t>تجاري</t>
  </si>
  <si>
    <t>لؤي</t>
  </si>
  <si>
    <t>سعيد</t>
  </si>
  <si>
    <t>سعاد مصطفى</t>
  </si>
  <si>
    <t>10040001788</t>
  </si>
  <si>
    <t>دير حباش20</t>
  </si>
  <si>
    <t>0936808138</t>
  </si>
  <si>
    <t>رزان علي علي</t>
  </si>
  <si>
    <t>بلدية معيار شاكر</t>
  </si>
  <si>
    <t>مكلف لدى بلدية عين الزرقا</t>
  </si>
  <si>
    <t>ليدا</t>
  </si>
  <si>
    <t>غصون شعار</t>
  </si>
  <si>
    <t>10240005911</t>
  </si>
  <si>
    <t>فجليت</t>
  </si>
  <si>
    <t>فجليت ٧٣</t>
  </si>
  <si>
    <t>0938400777</t>
  </si>
  <si>
    <t>محاسبة وتمويل ـ مصارف</t>
  </si>
  <si>
    <t>المعهد التقني للعلوم المالية والمصرفية</t>
  </si>
  <si>
    <t>مكلفة لدى مديرية الثقافة</t>
  </si>
  <si>
    <t>ليليان</t>
  </si>
  <si>
    <t>جوزيف</t>
  </si>
  <si>
    <t>حداد</t>
  </si>
  <si>
    <t>الهام حنا</t>
  </si>
  <si>
    <t>10010014754</t>
  </si>
  <si>
    <t>المحطة٢٩</t>
  </si>
  <si>
    <t>0988817850</t>
  </si>
  <si>
    <t>لينا</t>
  </si>
  <si>
    <t>حبق</t>
  </si>
  <si>
    <t>سهيله عبدو</t>
  </si>
  <si>
    <t>10010092737</t>
  </si>
  <si>
    <t>ضهر اللوزه١٠</t>
  </si>
  <si>
    <t>0988053061</t>
  </si>
  <si>
    <t>علاء سليمان حسن</t>
  </si>
  <si>
    <t>مكلفة لدى بلدة سبة</t>
  </si>
  <si>
    <t>الشعبان</t>
  </si>
  <si>
    <t>سميره عيوش</t>
  </si>
  <si>
    <t>05020151338</t>
  </si>
  <si>
    <t>درعا الصنمين</t>
  </si>
  <si>
    <t>الطليسية٤</t>
  </si>
  <si>
    <t>0938224812</t>
  </si>
  <si>
    <t>دائرة الحدائق</t>
  </si>
  <si>
    <t>احمد نورالدين مفلح</t>
  </si>
  <si>
    <t>وزارة الزراعه والإصلاح الزراعي</t>
  </si>
  <si>
    <t>هندسة جيوتكنيك</t>
  </si>
  <si>
    <t>نوال ميا</t>
  </si>
  <si>
    <t>10130016010</t>
  </si>
  <si>
    <t>خريبة34</t>
  </si>
  <si>
    <t>0934142366</t>
  </si>
  <si>
    <t>محاسبة</t>
  </si>
  <si>
    <t>مكلفة لدى بلدية الخريبة</t>
  </si>
  <si>
    <t>درغام</t>
  </si>
  <si>
    <t>سميره درغام</t>
  </si>
  <si>
    <t>10220020256</t>
  </si>
  <si>
    <t>الشيخ سعد٩٢</t>
  </si>
  <si>
    <t>0993494385</t>
  </si>
  <si>
    <t>نبيل محمد يحى</t>
  </si>
  <si>
    <t>الهيئة العامة لمستشفى التوليد</t>
  </si>
  <si>
    <t>ليندا</t>
  </si>
  <si>
    <t>ناديا اسماعيل</t>
  </si>
  <si>
    <t>10110020726</t>
  </si>
  <si>
    <t>الدردارة11</t>
  </si>
  <si>
    <t>0997081183</t>
  </si>
  <si>
    <t>إجازة بلا أجر</t>
  </si>
  <si>
    <t>انشاءات</t>
  </si>
  <si>
    <t>ماريا</t>
  </si>
  <si>
    <t>سيمير</t>
  </si>
  <si>
    <t>نسب يوسف</t>
  </si>
  <si>
    <t>10010076920</t>
  </si>
  <si>
    <t>خراب٧٢٩</t>
  </si>
  <si>
    <t>0982819338</t>
  </si>
  <si>
    <t>علي منذر عروس</t>
  </si>
  <si>
    <t>كلية الهندسة المعماريه</t>
  </si>
  <si>
    <t>تخطيط وتصميم مواقع</t>
  </si>
  <si>
    <t>مازن</t>
  </si>
  <si>
    <t>دباشي</t>
  </si>
  <si>
    <t>زهر علي</t>
  </si>
  <si>
    <t>10010123921</t>
  </si>
  <si>
    <t>اسقبولي</t>
  </si>
  <si>
    <t>اسقبولي٨</t>
  </si>
  <si>
    <t>0930640017</t>
  </si>
  <si>
    <t>ماهر</t>
  </si>
  <si>
    <t>اسعاف كامل</t>
  </si>
  <si>
    <t>10160045584</t>
  </si>
  <si>
    <t>تلة الخضر</t>
  </si>
  <si>
    <t>تلترمس ٥٤</t>
  </si>
  <si>
    <t>0994429341</t>
  </si>
  <si>
    <t>رئيس الدائرة القانونية</t>
  </si>
  <si>
    <t>مرض مزمن</t>
  </si>
  <si>
    <t>ضغط</t>
  </si>
  <si>
    <t>شيحا</t>
  </si>
  <si>
    <t>وفاء ابراهيم</t>
  </si>
  <si>
    <t>10020018547</t>
  </si>
  <si>
    <t>دير الحجر</t>
  </si>
  <si>
    <t>دير الحجر٧</t>
  </si>
  <si>
    <t>0988502481</t>
  </si>
  <si>
    <t>نديمة اسماعيل</t>
  </si>
  <si>
    <t>10010029079</t>
  </si>
  <si>
    <t>حر معبرية</t>
  </si>
  <si>
    <t>0932635625</t>
  </si>
  <si>
    <t>رئيس شعبة المنطقة</t>
  </si>
  <si>
    <t>ادارة مشاريع منوسطة وصغيرة</t>
  </si>
  <si>
    <t>سوزان عبدالله حاتم</t>
  </si>
  <si>
    <t>ادارة مشاريع صغيرة ومتوسطة</t>
  </si>
  <si>
    <t>العص</t>
  </si>
  <si>
    <t>حاجة السليمان</t>
  </si>
  <si>
    <t>10090059536</t>
  </si>
  <si>
    <t>بعمرائيل ٧</t>
  </si>
  <si>
    <t>إدارة اعمال تمويل و استثمار</t>
  </si>
  <si>
    <t>تمويل و استثمار</t>
  </si>
  <si>
    <t>مكلف لدى مجلس مدينة بانياس</t>
  </si>
  <si>
    <t>مجد</t>
  </si>
  <si>
    <t>فاطمة سلمان</t>
  </si>
  <si>
    <t>10010068346</t>
  </si>
  <si>
    <t>الثورة</t>
  </si>
  <si>
    <t>الثوره١٨</t>
  </si>
  <si>
    <t>0933736185</t>
  </si>
  <si>
    <t>رئيس دائرة المراب</t>
  </si>
  <si>
    <t>محاسن</t>
  </si>
  <si>
    <t>عربيه سليمان</t>
  </si>
  <si>
    <t>10010076078</t>
  </si>
  <si>
    <t>0937051165</t>
  </si>
  <si>
    <t>جوهينة ابراهيم</t>
  </si>
  <si>
    <t>10180004576</t>
  </si>
  <si>
    <t>حصن سليمان</t>
  </si>
  <si>
    <t>حصن سليمان ١٠</t>
  </si>
  <si>
    <t>تحت التصرف</t>
  </si>
  <si>
    <t>صفيه محمد مهنا</t>
  </si>
  <si>
    <t>اميره</t>
  </si>
  <si>
    <t>10140009339</t>
  </si>
  <si>
    <t>باشيشه</t>
  </si>
  <si>
    <t>باشيشه٢</t>
  </si>
  <si>
    <t>0944608578</t>
  </si>
  <si>
    <t>غادة علي</t>
  </si>
  <si>
    <t>10160079901</t>
  </si>
  <si>
    <t>المويسة</t>
  </si>
  <si>
    <t>0991672860</t>
  </si>
  <si>
    <t>رئيس دائرة الموازنات</t>
  </si>
  <si>
    <t>علوم مالية ومصرفية</t>
  </si>
  <si>
    <t>صارم</t>
  </si>
  <si>
    <t>فاديا درغام</t>
  </si>
  <si>
    <t>10160037612</t>
  </si>
  <si>
    <t>رأس الخشوفة</t>
  </si>
  <si>
    <t>رأش الخشوفة 61</t>
  </si>
  <si>
    <t>0996188534</t>
  </si>
  <si>
    <t>10010047103</t>
  </si>
  <si>
    <t>0954219576</t>
  </si>
  <si>
    <t>كلية تجارة</t>
  </si>
  <si>
    <t>سنا غانم غانم</t>
  </si>
  <si>
    <t>علوم مالية</t>
  </si>
  <si>
    <t>عليا ابراهيم</t>
  </si>
  <si>
    <t>10160005015</t>
  </si>
  <si>
    <t>بونياح</t>
  </si>
  <si>
    <t>بونياح ٢</t>
  </si>
  <si>
    <t>كلية التجارة والاقتصاد</t>
  </si>
  <si>
    <t>معلا</t>
  </si>
  <si>
    <t>سعده منصور</t>
  </si>
  <si>
    <t>10220036880</t>
  </si>
  <si>
    <t>بقعو٩</t>
  </si>
  <si>
    <t>0932644994</t>
  </si>
  <si>
    <t>مدير مديرية الشؤون القانونية</t>
  </si>
  <si>
    <t>ياسمين صالح خدام</t>
  </si>
  <si>
    <t>وزارة الإدارة المحلية</t>
  </si>
  <si>
    <t>اسطى</t>
  </si>
  <si>
    <t>ساميه حمدان</t>
  </si>
  <si>
    <t>10220032245</t>
  </si>
  <si>
    <t>المراج</t>
  </si>
  <si>
    <t>المراج ٨</t>
  </si>
  <si>
    <t>0988033983</t>
  </si>
  <si>
    <t>كلية تجارة واقتصاد</t>
  </si>
  <si>
    <t>عاقل</t>
  </si>
  <si>
    <t>منى عاقل</t>
  </si>
  <si>
    <t>10110012052</t>
  </si>
  <si>
    <t>الحميدية</t>
  </si>
  <si>
    <t>المرانة ٦</t>
  </si>
  <si>
    <t>0988350070</t>
  </si>
  <si>
    <t>معهد اعمال ادراية</t>
  </si>
  <si>
    <t>معهد ادارة اعمال</t>
  </si>
  <si>
    <t>ادراة</t>
  </si>
  <si>
    <t>نظيره حسن</t>
  </si>
  <si>
    <t>10010093308</t>
  </si>
  <si>
    <t>مشفى طرطوس</t>
  </si>
  <si>
    <t>خراب ٢٢٣٨</t>
  </si>
  <si>
    <t>الخمير</t>
  </si>
  <si>
    <t>وجيها جدوع</t>
  </si>
  <si>
    <t>10040007495</t>
  </si>
  <si>
    <t>حكر سمكه</t>
  </si>
  <si>
    <t>خربة المعزه ٨</t>
  </si>
  <si>
    <t>0930022547</t>
  </si>
  <si>
    <t>مرح</t>
  </si>
  <si>
    <t>ثابت</t>
  </si>
  <si>
    <t>وفاء الجندي</t>
  </si>
  <si>
    <t>10010016379</t>
  </si>
  <si>
    <t>البرانية٤٠</t>
  </si>
  <si>
    <t>0932284480</t>
  </si>
  <si>
    <t>شعبة البرمجة والتحليل</t>
  </si>
  <si>
    <t>برمجيات</t>
  </si>
  <si>
    <t>مرفت</t>
  </si>
  <si>
    <t>خدج ديوب</t>
  </si>
  <si>
    <t>الزرقات</t>
  </si>
  <si>
    <t>الزرقات ٣٢</t>
  </si>
  <si>
    <t>0937924988</t>
  </si>
  <si>
    <t>مروى</t>
  </si>
  <si>
    <t>دياب</t>
  </si>
  <si>
    <t>منى شاهين</t>
  </si>
  <si>
    <t>10020023848</t>
  </si>
  <si>
    <t>عين الزبدة٤٧</t>
  </si>
  <si>
    <t>0999659647</t>
  </si>
  <si>
    <t>رئيس مكتب التنمية المحلية</t>
  </si>
  <si>
    <t>شهاده عليا في الإدارة العامة INA</t>
  </si>
  <si>
    <t>مريانا</t>
  </si>
  <si>
    <t>شعبان</t>
  </si>
  <si>
    <t>سهام</t>
  </si>
  <si>
    <t>05160029884</t>
  </si>
  <si>
    <t>حنجور٣٨</t>
  </si>
  <si>
    <t>0940854956</t>
  </si>
  <si>
    <t>المعلوماتية</t>
  </si>
  <si>
    <t>مكلفه لدى دائرة تعليم الكبار</t>
  </si>
  <si>
    <t>مريم</t>
  </si>
  <si>
    <t>انتصار ديب</t>
  </si>
  <si>
    <t>10010000592</t>
  </si>
  <si>
    <t>بغمليخ٢٩</t>
  </si>
  <si>
    <t>0935629771</t>
  </si>
  <si>
    <t>مراسله</t>
  </si>
  <si>
    <t>أدبي</t>
  </si>
  <si>
    <t>مضر</t>
  </si>
  <si>
    <t>آمنة سلمان</t>
  </si>
  <si>
    <t>10010106335</t>
  </si>
  <si>
    <t>خراب سلام 2834</t>
  </si>
  <si>
    <t>0988395671</t>
  </si>
  <si>
    <t>عامل حاسب</t>
  </si>
  <si>
    <t>نور علي حسن</t>
  </si>
  <si>
    <t>معن</t>
  </si>
  <si>
    <t>حجل</t>
  </si>
  <si>
    <t>بهيجة حسن</t>
  </si>
  <si>
    <t>10160019286</t>
  </si>
  <si>
    <t>صافيتا السرايا ١٢٥</t>
  </si>
  <si>
    <t>0994141975</t>
  </si>
  <si>
    <t>مساعد مهندس</t>
  </si>
  <si>
    <t>منار</t>
  </si>
  <si>
    <t>هاله داؤد</t>
  </si>
  <si>
    <t>10220024587</t>
  </si>
  <si>
    <t>بقعو٢٧</t>
  </si>
  <si>
    <t>0980813751</t>
  </si>
  <si>
    <t>محمود علي ابراهيم</t>
  </si>
  <si>
    <t>معمل الاسمنت</t>
  </si>
  <si>
    <t>تكليف لدى بلدية بقعو</t>
  </si>
  <si>
    <t>دلا</t>
  </si>
  <si>
    <t>زكية الفتى</t>
  </si>
  <si>
    <t>10020009107</t>
  </si>
  <si>
    <t>الصفصافة ٧٤</t>
  </si>
  <si>
    <t>0995730815</t>
  </si>
  <si>
    <t>منال</t>
  </si>
  <si>
    <t>ناصيف</t>
  </si>
  <si>
    <t>شعيلا الإبراهيم</t>
  </si>
  <si>
    <t>10010066462</t>
  </si>
  <si>
    <t>مركز منطقة حمص</t>
  </si>
  <si>
    <t>المخرم68</t>
  </si>
  <si>
    <t>0955339869</t>
  </si>
  <si>
    <t>وهيب</t>
  </si>
  <si>
    <t>سميرة إبراهيم</t>
  </si>
  <si>
    <t>10220003375</t>
  </si>
  <si>
    <t>خراب</t>
  </si>
  <si>
    <t>0993422650</t>
  </si>
  <si>
    <t>منهل</t>
  </si>
  <si>
    <t>بدرة</t>
  </si>
  <si>
    <t>افراح قاومجي</t>
  </si>
  <si>
    <t>10090014289</t>
  </si>
  <si>
    <t>خريبة46</t>
  </si>
  <si>
    <t>0944361908</t>
  </si>
  <si>
    <t>سحر جميل الشاعر</t>
  </si>
  <si>
    <t>منى</t>
  </si>
  <si>
    <t>عبدالحميد</t>
  </si>
  <si>
    <t>نوال علي</t>
  </si>
  <si>
    <t>10160032824</t>
  </si>
  <si>
    <t>حكر بيت صالحة12</t>
  </si>
  <si>
    <t>0943230470</t>
  </si>
  <si>
    <t>دائرة الوحات الادارية</t>
  </si>
  <si>
    <t>كلية الاداب</t>
  </si>
  <si>
    <t>مها</t>
  </si>
  <si>
    <t>10220027829</t>
  </si>
  <si>
    <t>الصفليه١٩</t>
  </si>
  <si>
    <t>0996171559</t>
  </si>
  <si>
    <t>دائرة مراقبين داخليين</t>
  </si>
  <si>
    <t>مراقب داخلي</t>
  </si>
  <si>
    <t>حسان أحمد ديوب</t>
  </si>
  <si>
    <t>مهدي</t>
  </si>
  <si>
    <t>سعاد سليمان</t>
  </si>
  <si>
    <t>10250006828</t>
  </si>
  <si>
    <t>ضهر مطرو</t>
  </si>
  <si>
    <t>0988570359</t>
  </si>
  <si>
    <t>معاون مدير المالية</t>
  </si>
  <si>
    <t>معاون مدير مالية</t>
  </si>
  <si>
    <t>مهران</t>
  </si>
  <si>
    <t>مسعود</t>
  </si>
  <si>
    <t>نبيله حسن</t>
  </si>
  <si>
    <t>10100020068</t>
  </si>
  <si>
    <t>بسقاية</t>
  </si>
  <si>
    <t>القدموس ٥</t>
  </si>
  <si>
    <t>0994406793</t>
  </si>
  <si>
    <t>وعد سمير عباس</t>
  </si>
  <si>
    <t>مدرسة التمريض</t>
  </si>
  <si>
    <t>كلية الحقوق والمعهد الوطني للإدارة العامة INA</t>
  </si>
  <si>
    <t>جزائي</t>
  </si>
  <si>
    <t>مهند</t>
  </si>
  <si>
    <t>غنام</t>
  </si>
  <si>
    <t>نجاح محمد</t>
  </si>
  <si>
    <t>10270010526</t>
  </si>
  <si>
    <t>عين فطيمة٦</t>
  </si>
  <si>
    <t>0981518365</t>
  </si>
  <si>
    <t>ميار</t>
  </si>
  <si>
    <t>سعد</t>
  </si>
  <si>
    <t>سميره حسين</t>
  </si>
  <si>
    <t>10010144812</t>
  </si>
  <si>
    <t>بعدري٧</t>
  </si>
  <si>
    <t>0992263821</t>
  </si>
  <si>
    <t>ميثال</t>
  </si>
  <si>
    <t>فائز</t>
  </si>
  <si>
    <t>جميلة سليمان</t>
  </si>
  <si>
    <t>10010114391</t>
  </si>
  <si>
    <t>الواسطات</t>
  </si>
  <si>
    <t>دوير الشيخ سعد ٤٠</t>
  </si>
  <si>
    <t>0998347842</t>
  </si>
  <si>
    <t>ميس</t>
  </si>
  <si>
    <t>جودات</t>
  </si>
  <si>
    <t>حورية حسن</t>
  </si>
  <si>
    <t>04150027583</t>
  </si>
  <si>
    <t>الدرادارية</t>
  </si>
  <si>
    <t>الحنفية ٢٨</t>
  </si>
  <si>
    <t>0966246471</t>
  </si>
  <si>
    <t>منظومة الحجز الالكتروني</t>
  </si>
  <si>
    <t>مدقق بيانات</t>
  </si>
  <si>
    <t>ادب انكليزب</t>
  </si>
  <si>
    <t>حسام احمد محمود</t>
  </si>
  <si>
    <t>انكليزي</t>
  </si>
  <si>
    <t>منال محمود</t>
  </si>
  <si>
    <t>10050001565</t>
  </si>
  <si>
    <t>زاهد١٦</t>
  </si>
  <si>
    <t>0937499189</t>
  </si>
  <si>
    <t>رؤية حاسوب</t>
  </si>
  <si>
    <t>ميساء</t>
  </si>
  <si>
    <t>فرنجية حمود</t>
  </si>
  <si>
    <t>10270022011</t>
  </si>
  <si>
    <t>ادلب</t>
  </si>
  <si>
    <t>إدلب</t>
  </si>
  <si>
    <t>مركز منطقة إدلب</t>
  </si>
  <si>
    <t>سرمدا</t>
  </si>
  <si>
    <t>قنية ٢٥</t>
  </si>
  <si>
    <t>0956576749</t>
  </si>
  <si>
    <t>حماد</t>
  </si>
  <si>
    <t>بدريه حسين</t>
  </si>
  <si>
    <t>النعاصات١</t>
  </si>
  <si>
    <t>0992026695</t>
  </si>
  <si>
    <t>ديوان القانونية</t>
  </si>
  <si>
    <t>منشئ رئيسي</t>
  </si>
  <si>
    <t>نزيه سلمان حسين</t>
  </si>
  <si>
    <t>مرفأ طرطوس</t>
  </si>
  <si>
    <t>منصور</t>
  </si>
  <si>
    <t>سليمه منصور</t>
  </si>
  <si>
    <t>ضهر اليازدية</t>
  </si>
  <si>
    <t>ضهر اليازدية ٩</t>
  </si>
  <si>
    <t>0934703799</t>
  </si>
  <si>
    <t>كاتبه</t>
  </si>
  <si>
    <t>ريف دمشق</t>
  </si>
  <si>
    <t>مركز محافظة ريف دمشق</t>
  </si>
  <si>
    <t>مكلفة لدى بلدية اليازدية</t>
  </si>
  <si>
    <t>زينة احمد</t>
  </si>
  <si>
    <t>10020009236</t>
  </si>
  <si>
    <t>مجبر ١٠</t>
  </si>
  <si>
    <t>0994604139</t>
  </si>
  <si>
    <t>عقار حكومي</t>
  </si>
  <si>
    <t>علاء احمد حسن</t>
  </si>
  <si>
    <t>غازي</t>
  </si>
  <si>
    <t>نهاد دبرها</t>
  </si>
  <si>
    <t>10160154911</t>
  </si>
  <si>
    <t>البشارغه١١</t>
  </si>
  <si>
    <t>0932003234</t>
  </si>
  <si>
    <t>نائب مدير مكتب التنمية المحلية</t>
  </si>
  <si>
    <t>ميسم</t>
  </si>
  <si>
    <t>بدرية حسين</t>
  </si>
  <si>
    <t>10020023404</t>
  </si>
  <si>
    <t>الصبوحية ١٨</t>
  </si>
  <si>
    <t>0935739088</t>
  </si>
  <si>
    <t>إعاقة</t>
  </si>
  <si>
    <t>اعاقة حركية</t>
  </si>
  <si>
    <t>ناديا</t>
  </si>
  <si>
    <t>شعلا حسن</t>
  </si>
  <si>
    <t>10100015560</t>
  </si>
  <si>
    <t>الحاطريه69</t>
  </si>
  <si>
    <t>0935177998</t>
  </si>
  <si>
    <t>مراسله ومستخدمه</t>
  </si>
  <si>
    <t>مكلفة لدى بلدية الحاطرية</t>
  </si>
  <si>
    <t>نازك</t>
  </si>
  <si>
    <t>جواد</t>
  </si>
  <si>
    <t>جميلة شاليش</t>
  </si>
  <si>
    <t>10160095898</t>
  </si>
  <si>
    <t>الناعمة</t>
  </si>
  <si>
    <t>الناعمة ٧</t>
  </si>
  <si>
    <t>0938311007</t>
  </si>
  <si>
    <t>دائرة الدراسات</t>
  </si>
  <si>
    <t>نتالين</t>
  </si>
  <si>
    <t>قاسم</t>
  </si>
  <si>
    <t>حميده صالح</t>
  </si>
  <si>
    <t>10010027389</t>
  </si>
  <si>
    <t>يحمور</t>
  </si>
  <si>
    <t>البرانيه٢٣٦</t>
  </si>
  <si>
    <t>0993472519</t>
  </si>
  <si>
    <t>نداء</t>
  </si>
  <si>
    <t>حليمة ابراهيم</t>
  </si>
  <si>
    <t>10240012662</t>
  </si>
  <si>
    <t>الدويلية</t>
  </si>
  <si>
    <t>وادي الشلوف 7</t>
  </si>
  <si>
    <t>0997461200</t>
  </si>
  <si>
    <t>مكلفة لدى بلدية العوينة</t>
  </si>
  <si>
    <t>ندى</t>
  </si>
  <si>
    <t>تقلا</t>
  </si>
  <si>
    <t>نوف وطفة</t>
  </si>
  <si>
    <t>06200011791</t>
  </si>
  <si>
    <t>مقدمين ٨٣</t>
  </si>
  <si>
    <t>0986377932</t>
  </si>
  <si>
    <t>تكليف لدى مجلس مدينة طرطوس</t>
  </si>
  <si>
    <t>نزار</t>
  </si>
  <si>
    <t>10090017703</t>
  </si>
  <si>
    <t>الخريبة</t>
  </si>
  <si>
    <t>0930985550</t>
  </si>
  <si>
    <t>دائرة شؤون الوحدات الإدارية</t>
  </si>
  <si>
    <t>حاسبات وتحكم الي</t>
  </si>
  <si>
    <t>هنسة</t>
  </si>
  <si>
    <t>نسرين</t>
  </si>
  <si>
    <t>مدحت</t>
  </si>
  <si>
    <t>سجيعه صالح</t>
  </si>
  <si>
    <t>10260003844</t>
  </si>
  <si>
    <t>بنمره6</t>
  </si>
  <si>
    <t>0988036334</t>
  </si>
  <si>
    <t>مصرف تجاري</t>
  </si>
  <si>
    <t>باسل وجيه ضوا</t>
  </si>
  <si>
    <t>بلدية الشيخ بدر</t>
  </si>
  <si>
    <t>جامعة  طرطوس</t>
  </si>
  <si>
    <t>مصرف تحلري</t>
  </si>
  <si>
    <t>مكلفة لدى بلدية الشيخ بدر</t>
  </si>
  <si>
    <t>نضال</t>
  </si>
  <si>
    <t>أمل عيسى</t>
  </si>
  <si>
    <t>10160133291</t>
  </si>
  <si>
    <t>بشبطة</t>
  </si>
  <si>
    <t>الدلبة ١٦</t>
  </si>
  <si>
    <t>0937656020</t>
  </si>
  <si>
    <t>نعمة</t>
  </si>
  <si>
    <t>عماد الدين</t>
  </si>
  <si>
    <t>بهيجة منصور</t>
  </si>
  <si>
    <t>10020040091</t>
  </si>
  <si>
    <t>خربة الاكراد</t>
  </si>
  <si>
    <t>خربة الاكراد ٢٧</t>
  </si>
  <si>
    <t>0980795793</t>
  </si>
  <si>
    <t>شعبة الرخص</t>
  </si>
  <si>
    <t>نغم</t>
  </si>
  <si>
    <t>زيدو</t>
  </si>
  <si>
    <t>لوعة حبيب</t>
  </si>
  <si>
    <t>10120001762</t>
  </si>
  <si>
    <t>الطواحين ٢٣</t>
  </si>
  <si>
    <t>0988382677</t>
  </si>
  <si>
    <t>رفعت</t>
  </si>
  <si>
    <t>جديد</t>
  </si>
  <si>
    <t>عفاف صالح</t>
  </si>
  <si>
    <t>10160048052</t>
  </si>
  <si>
    <t>خراب1595</t>
  </si>
  <si>
    <t>0968498678</t>
  </si>
  <si>
    <t>دائرة مجلس المحافظة</t>
  </si>
  <si>
    <t>رئيسة دائرة مجلس المحافظة</t>
  </si>
  <si>
    <t>خديجة علي</t>
  </si>
  <si>
    <t>10040026808</t>
  </si>
  <si>
    <t>خربة المعزة55</t>
  </si>
  <si>
    <t>0938950802</t>
  </si>
  <si>
    <t>عامل كومبيوتر</t>
  </si>
  <si>
    <t>مكلفة لدى بلدية خربة المعزة</t>
  </si>
  <si>
    <t>سعاد طيبه</t>
  </si>
  <si>
    <t>10280009450</t>
  </si>
  <si>
    <t>الصفلية</t>
  </si>
  <si>
    <t>صفلية٢٧</t>
  </si>
  <si>
    <t>0936539867</t>
  </si>
  <si>
    <t>تدرس ماجستير بالويب</t>
  </si>
  <si>
    <t>نهال</t>
  </si>
  <si>
    <t>نوفا محمود</t>
  </si>
  <si>
    <t>10160104891</t>
  </si>
  <si>
    <t>مجدلون البستان</t>
  </si>
  <si>
    <t>سرايا٩٢</t>
  </si>
  <si>
    <t>0998918642</t>
  </si>
  <si>
    <t>غسان يوسف يوسف</t>
  </si>
  <si>
    <t>كلية الهندسة الزراعية</t>
  </si>
  <si>
    <t>محاصيل زراعية</t>
  </si>
  <si>
    <t>نهى</t>
  </si>
  <si>
    <t>مكنا</t>
  </si>
  <si>
    <t>جميلة عضيمة</t>
  </si>
  <si>
    <t>06100058230</t>
  </si>
  <si>
    <t>حصنان ٨٩</t>
  </si>
  <si>
    <t>0944774621</t>
  </si>
  <si>
    <t>مديرة دعم القرار</t>
  </si>
  <si>
    <t>ماجستير دراسات اقليمية متكاملة</t>
  </si>
  <si>
    <t>نوار</t>
  </si>
  <si>
    <t>تيسير</t>
  </si>
  <si>
    <t>حسن بلال</t>
  </si>
  <si>
    <t>جميله شموس</t>
  </si>
  <si>
    <t>10160001105</t>
  </si>
  <si>
    <t>امحوش٩</t>
  </si>
  <si>
    <t>0934788000</t>
  </si>
  <si>
    <t>رؤى محمد حامد</t>
  </si>
  <si>
    <t>ماجستير تخطيط إقليمي</t>
  </si>
  <si>
    <t>هندسة مدن وتنمية مستدامة</t>
  </si>
  <si>
    <t>ماجستير إدارة الأعمال من أكاديمية بريطانية</t>
  </si>
  <si>
    <t>فرحات</t>
  </si>
  <si>
    <t>ناريمان ابراهيم</t>
  </si>
  <si>
    <t>10240017155</t>
  </si>
  <si>
    <t>كفرطلش</t>
  </si>
  <si>
    <t>كفرطلش ٦</t>
  </si>
  <si>
    <t>0999484397</t>
  </si>
  <si>
    <t>خقوق</t>
  </si>
  <si>
    <t>نور</t>
  </si>
  <si>
    <t>ميساء عباس</t>
  </si>
  <si>
    <t>10260031847</t>
  </si>
  <si>
    <t>القليعات ٤</t>
  </si>
  <si>
    <t>0934997585</t>
  </si>
  <si>
    <t>وسام علي حمود</t>
  </si>
  <si>
    <t>عدلية طرطوس</t>
  </si>
  <si>
    <t>تكليف لدى بلدية عين الزرقاء</t>
  </si>
  <si>
    <t>المحمد</t>
  </si>
  <si>
    <t>ميادة احمد</t>
  </si>
  <si>
    <t>10280000668</t>
  </si>
  <si>
    <t>القمصية ١٤٧</t>
  </si>
  <si>
    <t>0992046698</t>
  </si>
  <si>
    <t>مكلفة لدى بلدية</t>
  </si>
  <si>
    <t>نورا</t>
  </si>
  <si>
    <t>بدور</t>
  </si>
  <si>
    <t>أميرة بزاقي</t>
  </si>
  <si>
    <t>10040012993</t>
  </si>
  <si>
    <t>خربة المعزة ٨٦</t>
  </si>
  <si>
    <t>0936457104</t>
  </si>
  <si>
    <t>نيرمين</t>
  </si>
  <si>
    <t>بلول</t>
  </si>
  <si>
    <t>نظيرة ابراهيم</t>
  </si>
  <si>
    <t>10260038343</t>
  </si>
  <si>
    <t>برمانة المشايخ</t>
  </si>
  <si>
    <t>الوادي الأخضر</t>
  </si>
  <si>
    <t>المجيدل٣٤</t>
  </si>
  <si>
    <t>0933049317</t>
  </si>
  <si>
    <t>دائرة متابعه التقارير والكتب</t>
  </si>
  <si>
    <t>شعبة الطباعة والمراسلات</t>
  </si>
  <si>
    <t>هاني</t>
  </si>
  <si>
    <t>ربع</t>
  </si>
  <si>
    <t>جميلة مقصود</t>
  </si>
  <si>
    <t>10160109381</t>
  </si>
  <si>
    <t>حكر جب الأملس</t>
  </si>
  <si>
    <t>حكر جب الأملس ١٧</t>
  </si>
  <si>
    <t>0998553197</t>
  </si>
  <si>
    <t>هندسه</t>
  </si>
  <si>
    <t>تقنية</t>
  </si>
  <si>
    <t>هبة</t>
  </si>
  <si>
    <t>المحمود</t>
  </si>
  <si>
    <t>سعاد كنعان</t>
  </si>
  <si>
    <t>10010036100</t>
  </si>
  <si>
    <t>الحسكة</t>
  </si>
  <si>
    <t>وادي الشاطرة</t>
  </si>
  <si>
    <t>0945771437</t>
  </si>
  <si>
    <t>تكليف لدى بلدة حمين</t>
  </si>
  <si>
    <t>هدى</t>
  </si>
  <si>
    <t>خدام</t>
  </si>
  <si>
    <t>نديمه</t>
  </si>
  <si>
    <t>10040028410</t>
  </si>
  <si>
    <t>الزرقا ٢٧</t>
  </si>
  <si>
    <t>0934198936</t>
  </si>
  <si>
    <t>هلال</t>
  </si>
  <si>
    <t>شليحه</t>
  </si>
  <si>
    <t>مطيعه علي</t>
  </si>
  <si>
    <t>10010007640</t>
  </si>
  <si>
    <t>الرمل ٩٤٥</t>
  </si>
  <si>
    <t>0933976055</t>
  </si>
  <si>
    <t>هنادي</t>
  </si>
  <si>
    <t>اميرة علي</t>
  </si>
  <si>
    <t>10180009307</t>
  </si>
  <si>
    <t>عين بشريتي</t>
  </si>
  <si>
    <t>عين بشريتي ٢٢</t>
  </si>
  <si>
    <t>0997674438</t>
  </si>
  <si>
    <t>شعبة البرمجة</t>
  </si>
  <si>
    <t>زيدان</t>
  </si>
  <si>
    <t>عزيزه منصور</t>
  </si>
  <si>
    <t>10160009455</t>
  </si>
  <si>
    <t>عين التينه</t>
  </si>
  <si>
    <t>صافيتا التل 217</t>
  </si>
  <si>
    <t>0937332887</t>
  </si>
  <si>
    <t>مكلفة لدى بلدية سبة</t>
  </si>
  <si>
    <t>نزيه</t>
  </si>
  <si>
    <t>ناصر</t>
  </si>
  <si>
    <t>صبرية الحايك</t>
  </si>
  <si>
    <t>10220009888</t>
  </si>
  <si>
    <t>ديكيش</t>
  </si>
  <si>
    <t>ديكيش ٤٧٤</t>
  </si>
  <si>
    <t>0944935294</t>
  </si>
  <si>
    <t>سمر خضر خليل</t>
  </si>
  <si>
    <t>وائل</t>
  </si>
  <si>
    <t>المقدم</t>
  </si>
  <si>
    <t>فاطمة احمد</t>
  </si>
  <si>
    <t>10160152858</t>
  </si>
  <si>
    <t>تركب</t>
  </si>
  <si>
    <t>تركب ٢٨</t>
  </si>
  <si>
    <t>0944714231</t>
  </si>
  <si>
    <t>رئيس دائرة مكتب السيد المحافظ</t>
  </si>
  <si>
    <t>سونيا محمد جنود</t>
  </si>
  <si>
    <t>عام</t>
  </si>
  <si>
    <t>وجيه</t>
  </si>
  <si>
    <t>ضوا</t>
  </si>
  <si>
    <t>سهام شدود</t>
  </si>
  <si>
    <t>10090049293</t>
  </si>
  <si>
    <t>العصيبة</t>
  </si>
  <si>
    <t>العصيبة ٤٣</t>
  </si>
  <si>
    <t>مكلف لدى مجلس مدينة يانياس</t>
  </si>
  <si>
    <t>وسام</t>
  </si>
  <si>
    <t>الهام خليل</t>
  </si>
  <si>
    <t>12160022344</t>
  </si>
  <si>
    <t>الصنمين</t>
  </si>
  <si>
    <t>سخنة ١٩</t>
  </si>
  <si>
    <t>0966665867</t>
  </si>
  <si>
    <t>مكلف لدى مجلس مدينة طرطوس</t>
  </si>
  <si>
    <t>سميره حامد</t>
  </si>
  <si>
    <t>10010034489</t>
  </si>
  <si>
    <t>الصفليه٢٥</t>
  </si>
  <si>
    <t>0933425379</t>
  </si>
  <si>
    <t>مساعد قانوني</t>
  </si>
  <si>
    <t>احمد محمد إسماعيل</t>
  </si>
  <si>
    <t>المصرف العقاري</t>
  </si>
  <si>
    <t>تكليف لدى بلدة القمصية</t>
  </si>
  <si>
    <t>وسيم</t>
  </si>
  <si>
    <t>علاء الدين</t>
  </si>
  <si>
    <t>آمال عيسى</t>
  </si>
  <si>
    <t>10260038258</t>
  </si>
  <si>
    <t>الدبيبية</t>
  </si>
  <si>
    <t>الدبيبية ٤</t>
  </si>
  <si>
    <t>0933002189</t>
  </si>
  <si>
    <t>رئيس مركز خدمات المحافظة</t>
  </si>
  <si>
    <t>سوسن فيصل محمود</t>
  </si>
  <si>
    <t>دكتورة في كلية الهندسة التقنية</t>
  </si>
  <si>
    <t>وصال</t>
  </si>
  <si>
    <t>عمادالدين</t>
  </si>
  <si>
    <t>نجلاء شعبان</t>
  </si>
  <si>
    <t>10240011898</t>
  </si>
  <si>
    <t>فجليت ٦٨</t>
  </si>
  <si>
    <t>0934580760</t>
  </si>
  <si>
    <t>ذات رئة بسبب الكورونا وتتعالج لحد الآن</t>
  </si>
  <si>
    <t>مكلفة لدى بلدية فجليت</t>
  </si>
  <si>
    <t>وضاح</t>
  </si>
  <si>
    <t>عتيق</t>
  </si>
  <si>
    <t>مريم زهرة</t>
  </si>
  <si>
    <t>10090016357</t>
  </si>
  <si>
    <t>الخريبة٩٢</t>
  </si>
  <si>
    <t>0991152156</t>
  </si>
  <si>
    <t>وفاء</t>
  </si>
  <si>
    <t>زوات حماد</t>
  </si>
  <si>
    <t>10010026791</t>
  </si>
  <si>
    <t>بيت السلطان ٦</t>
  </si>
  <si>
    <t>0993494245</t>
  </si>
  <si>
    <t>عيسى سليمان معصره</t>
  </si>
  <si>
    <t>الجمارك</t>
  </si>
  <si>
    <t>AB-</t>
  </si>
  <si>
    <t>مكلفة لدى بلدة الشيخ سعد</t>
  </si>
  <si>
    <t>امل عباس</t>
  </si>
  <si>
    <t>10160038293</t>
  </si>
  <si>
    <t>راس الخشوفة</t>
  </si>
  <si>
    <t>راس الخشوفة ٨٣</t>
  </si>
  <si>
    <t>0951678480</t>
  </si>
  <si>
    <t>ادراية</t>
  </si>
  <si>
    <t>وليم</t>
  </si>
  <si>
    <t>سلوم</t>
  </si>
  <si>
    <t>منتهى صيوح</t>
  </si>
  <si>
    <t>10090106979</t>
  </si>
  <si>
    <t>مرشتي</t>
  </si>
  <si>
    <t>0935408089</t>
  </si>
  <si>
    <t>وهيبه</t>
  </si>
  <si>
    <t>فاطمه ونوي</t>
  </si>
  <si>
    <t>10260002404</t>
  </si>
  <si>
    <t>المريقب</t>
  </si>
  <si>
    <t>بريصين ٣٣</t>
  </si>
  <si>
    <t>0992203147</t>
  </si>
  <si>
    <t>ياسر احمد ميهوب</t>
  </si>
  <si>
    <t>مديرية الكهرباء</t>
  </si>
  <si>
    <t>يارا</t>
  </si>
  <si>
    <t>دلالة حمدان</t>
  </si>
  <si>
    <t>10220035239</t>
  </si>
  <si>
    <t>بريخية ١١</t>
  </si>
  <si>
    <t>0938953484</t>
  </si>
  <si>
    <t>دائرة مكتب التنفيذي</t>
  </si>
  <si>
    <t>ياسر</t>
  </si>
  <si>
    <t>كناج</t>
  </si>
  <si>
    <t>دلال كناج</t>
  </si>
  <si>
    <t>10040023739</t>
  </si>
  <si>
    <t>ميعار شاكر</t>
  </si>
  <si>
    <t>ميعار شاكر 36</t>
  </si>
  <si>
    <t>0936217919</t>
  </si>
  <si>
    <t>حارث</t>
  </si>
  <si>
    <t>ياسمين</t>
  </si>
  <si>
    <t>بديعه حمود</t>
  </si>
  <si>
    <t>10260012603</t>
  </si>
  <si>
    <t>عقرزيتي</t>
  </si>
  <si>
    <t>مزرعة حميصية ١</t>
  </si>
  <si>
    <t>0987436251</t>
  </si>
  <si>
    <t>يانا</t>
  </si>
  <si>
    <t>بسام</t>
  </si>
  <si>
    <t>شاتيلي</t>
  </si>
  <si>
    <t>داليا الدالي</t>
  </si>
  <si>
    <t>10010147047</t>
  </si>
  <si>
    <t>خراب ٤٣١</t>
  </si>
  <si>
    <t>0996794159</t>
  </si>
  <si>
    <t>صيانة تجهيزات حاسوبية</t>
  </si>
  <si>
    <t>معهد التقاني الصناعي</t>
  </si>
  <si>
    <t>يسرى</t>
  </si>
  <si>
    <t>هاشم</t>
  </si>
  <si>
    <t>فدوى ديوب</t>
  </si>
  <si>
    <t>10250000925</t>
  </si>
  <si>
    <t>الجراص</t>
  </si>
  <si>
    <t>حبابة ٣</t>
  </si>
  <si>
    <t>0999179850</t>
  </si>
  <si>
    <t>طالب محمد علي</t>
  </si>
  <si>
    <t>معمل مياه الدريكيش</t>
  </si>
  <si>
    <t>B-</t>
  </si>
  <si>
    <t>مكلفة لدى بلدية حمين</t>
  </si>
  <si>
    <t>يعقوب</t>
  </si>
  <si>
    <t>رزق</t>
  </si>
  <si>
    <t>جمانه إبراهيم</t>
  </si>
  <si>
    <t>10230005624</t>
  </si>
  <si>
    <t>بمنه</t>
  </si>
  <si>
    <t>بمنه٤٠</t>
  </si>
  <si>
    <t>0991822599</t>
  </si>
  <si>
    <t>هوادة محمد</t>
  </si>
  <si>
    <t>10100021142</t>
  </si>
  <si>
    <t>الحاطرية ٦٣</t>
  </si>
  <si>
    <t>0997133332</t>
  </si>
  <si>
    <t>رئيس دائرة العقود والرخص</t>
  </si>
  <si>
    <t>علا احمد صالح</t>
  </si>
  <si>
    <t>إناث</t>
  </si>
  <si>
    <t>فائقة مهنا</t>
  </si>
  <si>
    <t>10110003428</t>
  </si>
  <si>
    <t>الفروخية</t>
  </si>
  <si>
    <t>عين الزرقا 146</t>
  </si>
  <si>
    <t>0992602632</t>
  </si>
  <si>
    <t>اعمال ادارية</t>
  </si>
  <si>
    <t>مكلفة لدى بلدية عين الزرقا</t>
  </si>
  <si>
    <t>تمام سليمان</t>
  </si>
  <si>
    <t>10040006707</t>
  </si>
  <si>
    <t>خربة المعزة 37</t>
  </si>
  <si>
    <t>0991288843</t>
  </si>
  <si>
    <t>شهادة مهنية</t>
  </si>
  <si>
    <t>مكلف لدى بلدية خربة المعزة</t>
  </si>
  <si>
    <t>عبود</t>
  </si>
  <si>
    <t>سعاد ربيع</t>
  </si>
  <si>
    <t>10010089545</t>
  </si>
  <si>
    <t>الرادار 41</t>
  </si>
  <si>
    <t>0991197660</t>
  </si>
  <si>
    <t>رسم وانشاء هندسي</t>
  </si>
  <si>
    <t xml:space="preserve">ديما </t>
  </si>
  <si>
    <t>ملكة يوسف</t>
  </si>
  <si>
    <t>10010100190</t>
  </si>
  <si>
    <t>مخيم اليرموك</t>
  </si>
  <si>
    <t>جديته 9</t>
  </si>
  <si>
    <t>0994808190</t>
  </si>
  <si>
    <t>هندسة صحية ومعالجة محطات</t>
  </si>
  <si>
    <t xml:space="preserve">رزان </t>
  </si>
  <si>
    <t>لبانة حرفوش</t>
  </si>
  <si>
    <t>10230013967</t>
  </si>
  <si>
    <t>حميص</t>
  </si>
  <si>
    <t>حميص 10</t>
  </si>
  <si>
    <t>رقم خاطئ</t>
  </si>
  <si>
    <t>الفئة الاولى</t>
  </si>
  <si>
    <t>اجازة جامعية 4 سنوات</t>
  </si>
  <si>
    <t>ادب انكليزي</t>
  </si>
  <si>
    <t>مكلف لدى بلدية جديدة البحر</t>
  </si>
  <si>
    <t>زغيبي</t>
  </si>
  <si>
    <t>روضة خوندة</t>
  </si>
  <si>
    <t>10130011884</t>
  </si>
  <si>
    <t>قرقفتي 43</t>
  </si>
  <si>
    <t>0991610837</t>
  </si>
  <si>
    <t>وزارة الادارية المحلية والبيئة</t>
  </si>
  <si>
    <t>الامانة العامة للمحافظة</t>
  </si>
  <si>
    <t>اجازة جامعية 5 سنولت</t>
  </si>
  <si>
    <t xml:space="preserve">رستم </t>
  </si>
  <si>
    <t>نهى علي</t>
  </si>
  <si>
    <t>10250004039</t>
  </si>
  <si>
    <t>الملاجة 21</t>
  </si>
  <si>
    <t>0952555102</t>
  </si>
  <si>
    <t>سكرتارية</t>
  </si>
  <si>
    <t>رفيف</t>
  </si>
  <si>
    <t>خانجي</t>
  </si>
  <si>
    <t>بسمه الصباح</t>
  </si>
  <si>
    <t>02030052225</t>
  </si>
  <si>
    <t>تراب الهلك 43</t>
  </si>
  <si>
    <t>رقم غير موجود</t>
  </si>
  <si>
    <t xml:space="preserve">رنيم </t>
  </si>
  <si>
    <t>ليلى خلوف</t>
  </si>
  <si>
    <t>10010124936</t>
  </si>
  <si>
    <t>جديته 25</t>
  </si>
  <si>
    <t>0937565131</t>
  </si>
  <si>
    <t>اجازة جامعية 5 سنوات</t>
  </si>
  <si>
    <t>الللاذقية</t>
  </si>
  <si>
    <t>احلام علي</t>
  </si>
  <si>
    <t>10250001901</t>
  </si>
  <si>
    <t>المشفى الوطني</t>
  </si>
  <si>
    <t>حمين 28</t>
  </si>
  <si>
    <t>وئام محمد علي</t>
  </si>
  <si>
    <t>مهنية-إلكترون</t>
  </si>
  <si>
    <t>سامية</t>
  </si>
  <si>
    <t>عزيزة حسن</t>
  </si>
  <si>
    <t>10040016966</t>
  </si>
  <si>
    <t>الزرقات 50</t>
  </si>
  <si>
    <t>0994727648</t>
  </si>
  <si>
    <t>كوكب محمد</t>
  </si>
  <si>
    <t>10160038836</t>
  </si>
  <si>
    <t>صافيتا الشرقية 207</t>
  </si>
  <si>
    <t>0997762669</t>
  </si>
  <si>
    <t xml:space="preserve">شهادة اعدادية </t>
  </si>
  <si>
    <t>ايجار</t>
  </si>
  <si>
    <t>تجارية</t>
  </si>
  <si>
    <t>لميس</t>
  </si>
  <si>
    <t>سميعه القاضي</t>
  </si>
  <si>
    <t>10010146490</t>
  </si>
  <si>
    <t>شباط 11</t>
  </si>
  <si>
    <t>0932114859</t>
  </si>
  <si>
    <t>مهنية</t>
  </si>
  <si>
    <t>شفيقة محمود</t>
  </si>
  <si>
    <t>10040028126</t>
  </si>
  <si>
    <t>ضهر رجب</t>
  </si>
  <si>
    <t>ضهر رجب 26</t>
  </si>
  <si>
    <t>0938186680</t>
  </si>
  <si>
    <t>مكتب الامين العام</t>
  </si>
  <si>
    <t>شهادة اعدادية</t>
  </si>
  <si>
    <t>وردة خضور</t>
  </si>
  <si>
    <t>10010091376</t>
  </si>
  <si>
    <t>خراب 1310</t>
  </si>
  <si>
    <t>كاتب</t>
  </si>
  <si>
    <t>جعفر</t>
  </si>
  <si>
    <t>بيان سليمان</t>
  </si>
  <si>
    <t>10030011079</t>
  </si>
  <si>
    <t>سودا خوابي</t>
  </si>
  <si>
    <t>بحنين 45</t>
  </si>
  <si>
    <t>0968692304</t>
  </si>
  <si>
    <t>اجازة جامعية 4 سنولت</t>
  </si>
  <si>
    <t>سهيل</t>
  </si>
  <si>
    <t>فاطمة القاضي</t>
  </si>
  <si>
    <t>10030000879</t>
  </si>
  <si>
    <t>الملوعة</t>
  </si>
  <si>
    <t>الملوعة 3</t>
  </si>
  <si>
    <t>0947158231</t>
  </si>
  <si>
    <t>#</t>
  </si>
  <si>
    <t>مكان الدوام</t>
  </si>
  <si>
    <t>خارج المبنى</t>
  </si>
  <si>
    <t>ضمن المبنى</t>
  </si>
  <si>
    <t>الاسم الثلاثي</t>
  </si>
  <si>
    <t>ملاك أو خارج الملاك</t>
  </si>
  <si>
    <t>ماري</t>
  </si>
  <si>
    <t>نجيد</t>
  </si>
  <si>
    <t>كنوزي</t>
  </si>
  <si>
    <t>04130072899</t>
  </si>
  <si>
    <t>حب نمره</t>
  </si>
  <si>
    <t>تمام جرجس</t>
  </si>
  <si>
    <t>حب نمرة 60</t>
  </si>
  <si>
    <t>0940210139</t>
  </si>
  <si>
    <t>حميجو</t>
  </si>
  <si>
    <t>كردوش</t>
  </si>
  <si>
    <t>سحر</t>
  </si>
  <si>
    <t>أنيس</t>
  </si>
  <si>
    <t>دعاس</t>
  </si>
  <si>
    <t>أميمة</t>
  </si>
  <si>
    <t>شذى</t>
  </si>
  <si>
    <t>طريفي</t>
  </si>
  <si>
    <t>أيمن</t>
  </si>
  <si>
    <t>ثراء</t>
  </si>
  <si>
    <t>معروف</t>
  </si>
  <si>
    <t>زغيبة</t>
  </si>
  <si>
    <t>ديمه</t>
  </si>
  <si>
    <t>مدين</t>
  </si>
  <si>
    <t>فاروق</t>
  </si>
  <si>
    <t>غيداء</t>
  </si>
  <si>
    <t>عثمان</t>
  </si>
  <si>
    <t>صباغ</t>
  </si>
  <si>
    <t>ناهد</t>
  </si>
  <si>
    <t>انطونيوس</t>
  </si>
  <si>
    <t>ادريس</t>
  </si>
  <si>
    <t>نبيلة</t>
  </si>
  <si>
    <t>ضحى</t>
  </si>
  <si>
    <t>قيس</t>
  </si>
  <si>
    <t>شاهين</t>
  </si>
  <si>
    <t>عامر</t>
  </si>
  <si>
    <t>رفول</t>
  </si>
  <si>
    <t>أمية</t>
  </si>
  <si>
    <t>نوال</t>
  </si>
  <si>
    <t>نجار</t>
  </si>
  <si>
    <t>رحاب</t>
  </si>
  <si>
    <t>ثناء</t>
  </si>
  <si>
    <t>أسعد</t>
  </si>
  <si>
    <t>شموط</t>
  </si>
  <si>
    <t>مرام</t>
  </si>
  <si>
    <t>إسماعيل</t>
  </si>
  <si>
    <t>أحلام</t>
  </si>
  <si>
    <t>زروف</t>
  </si>
  <si>
    <t>حازم</t>
  </si>
  <si>
    <t>أنس</t>
  </si>
  <si>
    <t>لجين</t>
  </si>
  <si>
    <t>محفوض</t>
  </si>
  <si>
    <t>كفى</t>
  </si>
  <si>
    <t>عولا</t>
  </si>
  <si>
    <t>سميرة</t>
  </si>
  <si>
    <t>عبد السلام</t>
  </si>
  <si>
    <t>شادي</t>
  </si>
  <si>
    <t>حامد</t>
  </si>
  <si>
    <t>بسمة</t>
  </si>
  <si>
    <t>الحارة</t>
  </si>
  <si>
    <t>جنات</t>
  </si>
  <si>
    <t>قطوفي</t>
  </si>
  <si>
    <t>نجاة</t>
  </si>
  <si>
    <t>وسوف</t>
  </si>
  <si>
    <t>الكردي</t>
  </si>
  <si>
    <t>فسخة</t>
  </si>
  <si>
    <t>مدى</t>
  </si>
  <si>
    <t>اصف</t>
  </si>
  <si>
    <t>محمد ديب</t>
  </si>
  <si>
    <t>السيد</t>
  </si>
  <si>
    <t>نادين</t>
  </si>
  <si>
    <t>معد</t>
  </si>
  <si>
    <t>هايبل</t>
  </si>
  <si>
    <t>مديرية البيئة</t>
  </si>
  <si>
    <t>مديرية المالية</t>
  </si>
  <si>
    <t>مجلس مدينة بانياس</t>
  </si>
  <si>
    <t>بلدة الصفصافة</t>
  </si>
  <si>
    <t>بلدة الطليعي</t>
  </si>
  <si>
    <t>مديرية المصالح العقارية</t>
  </si>
  <si>
    <t>بلدة الشيخ سعد</t>
  </si>
  <si>
    <t>بلدية بيت كمونة</t>
  </si>
  <si>
    <t>وزارة التنمية الإدارية</t>
  </si>
  <si>
    <t>مجلس الشعب</t>
  </si>
  <si>
    <t>مجلس مدينة اريحا</t>
  </si>
  <si>
    <t>مجلس مدينة الرقة</t>
  </si>
  <si>
    <t>إجاة أمومة</t>
  </si>
  <si>
    <t>خارج الملاك</t>
  </si>
  <si>
    <t>مديرية دعم القرار</t>
  </si>
  <si>
    <t>مديرية المناطق الصناعية</t>
  </si>
  <si>
    <t>مديرية المجالس</t>
  </si>
  <si>
    <t>مكتب المتابعة</t>
  </si>
  <si>
    <t>مكتب السيد المحافظ</t>
  </si>
  <si>
    <t>بطاقة ذكية</t>
  </si>
  <si>
    <t>مكاتب تنفيذية</t>
  </si>
  <si>
    <t>بلدية الدكيكة</t>
  </si>
  <si>
    <t>بلدية حمام واصل</t>
  </si>
  <si>
    <t>مجلس مدينة القدموس</t>
  </si>
  <si>
    <t>مندب</t>
  </si>
  <si>
    <t>الامانة العامة لمحافظة ريف دمشق</t>
  </si>
  <si>
    <t>وزارة التجارة الداخلية وحماية المستهلك</t>
  </si>
  <si>
    <t>وزارة المالية</t>
  </si>
  <si>
    <t>وزارة الصحة</t>
  </si>
  <si>
    <t>الامانة العامة لمحافظة إدلب</t>
  </si>
  <si>
    <t>الامانة العامة لمحافظة الرقة</t>
  </si>
  <si>
    <t>هدى حمصية</t>
  </si>
  <si>
    <t>0944601030</t>
  </si>
  <si>
    <t>استقالة</t>
  </si>
  <si>
    <t>الفئة الأولى</t>
  </si>
  <si>
    <t>كلية الهندسة المدنيه</t>
  </si>
  <si>
    <t>رمزيه سليمان</t>
  </si>
  <si>
    <t>10220022570</t>
  </si>
  <si>
    <t>بقعو 7</t>
  </si>
  <si>
    <t>مدير الشؤون المالية</t>
  </si>
  <si>
    <t>دينا احمد حماد</t>
  </si>
  <si>
    <t>نجوى علي</t>
  </si>
  <si>
    <t>10260019733</t>
  </si>
  <si>
    <t>النمرية 11</t>
  </si>
  <si>
    <t>رأفت</t>
  </si>
  <si>
    <t>منصورة</t>
  </si>
  <si>
    <t>فاطمة منصوره</t>
  </si>
  <si>
    <t>10160055336</t>
  </si>
  <si>
    <t>السور</t>
  </si>
  <si>
    <t>السور4</t>
  </si>
  <si>
    <t>عامل خدمة</t>
  </si>
  <si>
    <t>جهينة</t>
  </si>
  <si>
    <t>10160134392</t>
  </si>
  <si>
    <t>تيشوؤ</t>
  </si>
  <si>
    <t>تيشور 13</t>
  </si>
  <si>
    <t>نصر</t>
  </si>
  <si>
    <t>10020016602</t>
  </si>
  <si>
    <t>وادي الميس</t>
  </si>
  <si>
    <t>وادي الميس7</t>
  </si>
  <si>
    <t>0933125582</t>
  </si>
  <si>
    <t>مريم حمدان</t>
  </si>
  <si>
    <t>10160112278</t>
  </si>
  <si>
    <t>حكر بيت صالحه</t>
  </si>
  <si>
    <t>حكر بيت صالح 6</t>
  </si>
  <si>
    <t>ايوب</t>
  </si>
  <si>
    <t>بديعه</t>
  </si>
  <si>
    <t>10220009709</t>
  </si>
  <si>
    <t>حيتل</t>
  </si>
  <si>
    <t>الدريكيش 341</t>
  </si>
  <si>
    <t>0988355835</t>
  </si>
  <si>
    <t>مكتب الشكاوى</t>
  </si>
  <si>
    <t>رئيس مكتب الشكاوي سابقا</t>
  </si>
  <si>
    <t>صحافة</t>
  </si>
  <si>
    <t>كلية الصحافة</t>
  </si>
  <si>
    <t>10010012604</t>
  </si>
  <si>
    <t>طرطوس٣</t>
  </si>
  <si>
    <t>0933849198</t>
  </si>
  <si>
    <t>الاحمد</t>
  </si>
  <si>
    <t>جهينا</t>
  </si>
  <si>
    <t>10010023929</t>
  </si>
  <si>
    <t>البرانية774</t>
  </si>
  <si>
    <t>فني صيانه</t>
  </si>
  <si>
    <t>انتهاء العقد</t>
  </si>
  <si>
    <t>10040012360</t>
  </si>
  <si>
    <t>يحمور1/17</t>
  </si>
  <si>
    <t>0988082128</t>
  </si>
  <si>
    <t>اسعد</t>
  </si>
  <si>
    <t>اديبة</t>
  </si>
  <si>
    <t>04010373452</t>
  </si>
  <si>
    <t>المريجه135</t>
  </si>
  <si>
    <t>0930996192</t>
  </si>
  <si>
    <t>عاملة طباعه</t>
  </si>
  <si>
    <t>10220002823</t>
  </si>
  <si>
    <t>الدريكيش75</t>
  </si>
  <si>
    <t>كليه الهندسة المدنية</t>
  </si>
  <si>
    <t>رجا</t>
  </si>
  <si>
    <t>ثناء عكاوي</t>
  </si>
  <si>
    <t>10010052756</t>
  </si>
  <si>
    <t>خراب اسلام366</t>
  </si>
  <si>
    <t>امين عام المحافظه السابق</t>
  </si>
  <si>
    <t>انتهت العلاقة الوظيفية</t>
  </si>
  <si>
    <t>يوسف سليمان ريا</t>
  </si>
  <si>
    <t>عقل حسن سلوم</t>
  </si>
  <si>
    <t>نظير علي سليمان</t>
  </si>
  <si>
    <t>علي صقر محمود</t>
  </si>
  <si>
    <t>محمد إسماعيل وردة</t>
  </si>
  <si>
    <t>بسام علي قاسم</t>
  </si>
  <si>
    <t>محمود عبدالحميد يونس</t>
  </si>
  <si>
    <t>بلال جبر خليل</t>
  </si>
  <si>
    <t>داخل الملاك</t>
  </si>
  <si>
    <t>مجموع</t>
  </si>
  <si>
    <t>ملاك الأمانة العامة</t>
  </si>
  <si>
    <t>دائم</t>
  </si>
  <si>
    <t xml:space="preserve">يشمل العاملين في النفايات الصلبة داخل وخارج المبنى والمجازين بلا اجر </t>
  </si>
  <si>
    <t>مؤقت</t>
  </si>
  <si>
    <t>مكلفين/ مندبين إلى الأمانة العامة</t>
  </si>
  <si>
    <t xml:space="preserve"> مدى غانم إجازة بلا أجر</t>
  </si>
  <si>
    <t>ندب</t>
  </si>
  <si>
    <t>عواطف حيدر مندبة ومكلفة في بلدية الدكيكة</t>
  </si>
  <si>
    <t>مركز العريضة</t>
  </si>
  <si>
    <t>كافة العاملين</t>
  </si>
  <si>
    <t>مكلفين/ مندبين خارج الأمانة العامة</t>
  </si>
  <si>
    <t>تم حذف ندى تقلا مكلفة في مجلس المدينة منحت إجازة بلا اجر</t>
  </si>
  <si>
    <t>بدون محمد عمران</t>
  </si>
  <si>
    <t>آخر راتب مقطوع</t>
  </si>
  <si>
    <t>الشركة السورية للمخابز</t>
  </si>
  <si>
    <t>الشركة السورية للمخابز-فرع طرطوس</t>
  </si>
  <si>
    <t>مكلف</t>
  </si>
  <si>
    <t>بدون احتساب مركز العريضة والنفايات الصلبة</t>
  </si>
  <si>
    <t>يشمل محمد عمران إجازة بلا اجر</t>
  </si>
  <si>
    <t>الوضع الراهن ضمن المبنى/ خارج المبنى</t>
  </si>
  <si>
    <t>إحصائية العاملين لدى الأمانة العامة لمحافظة طرطوس 2025/10/8</t>
  </si>
  <si>
    <t>-</t>
  </si>
  <si>
    <t>الوضع الراهن ضمن المبنى/خارج المبنى/إجازات</t>
  </si>
  <si>
    <t>بلا آجر</t>
  </si>
  <si>
    <t>تفصيل العمال خارج المبنى و مديرية النفايات</t>
  </si>
  <si>
    <t>العدد الإجمالي للعمال خارج المبنى يشمل المكلفين خارج المبنى وعمال مديرية إدارة النفايات الصلبة العاملين في دوائر المديرية خارج المبنى</t>
  </si>
  <si>
    <t>المكلفة مدى غانم إجازة بلا أجر</t>
  </si>
  <si>
    <t>مكلفين/ مندبين من الأمانة العامة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</si>
</sst>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yyyy/mm/dd;@"/>
    <numFmt numFmtId="165" formatCode="#,##0.00\ &quot;ل.س.‏&quot;"/>
    <numFmt numFmtId="168" formatCode="#,##0\ &quot;ل.س.‏&quot;"/>
  </numFmts>
  <fonts count="10" x14ac:knownFonts="1"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Simplified Arabic"/>
      <family val="1"/>
    </font>
    <font>
      <sz val="12"/>
      <name val="Simplified Arabic"/>
      <family val="1"/>
    </font>
    <font>
      <b/>
      <sz val="12"/>
      <color rgb="FF000000"/>
      <name val="Simplified Arabic"/>
      <family val="1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45">
    <xf numFmtId="0" fontId="0" fillId="0" borderId="0" xfId="0"/>
    <xf numFmtId="49" fontId="0" fillId="0" borderId="0" xfId="0" applyNumberFormat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0" xfId="0" applyFill="1"/>
    <xf numFmtId="0" fontId="3" fillId="0" borderId="9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0" xfId="0" applyFill="1"/>
    <xf numFmtId="0" fontId="1" fillId="0" borderId="5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/>
    <xf numFmtId="168" fontId="3" fillId="3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0" fontId="2" fillId="0" borderId="0" xfId="1"/>
    <xf numFmtId="0" fontId="7" fillId="0" borderId="2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0" xfId="1" applyFont="1"/>
    <xf numFmtId="0" fontId="7" fillId="7" borderId="1" xfId="1" applyFont="1" applyFill="1" applyBorder="1" applyAlignment="1">
      <alignment vertical="center"/>
    </xf>
    <xf numFmtId="0" fontId="7" fillId="7" borderId="1" xfId="1" applyFont="1" applyFill="1" applyBorder="1"/>
    <xf numFmtId="0" fontId="6" fillId="6" borderId="1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7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8" fillId="6" borderId="14" xfId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 vertical="center"/>
    </xf>
    <xf numFmtId="0" fontId="9" fillId="0" borderId="0" xfId="1" applyFont="1"/>
    <xf numFmtId="0" fontId="6" fillId="9" borderId="1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10" borderId="1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7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9" fillId="6" borderId="14" xfId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7" fillId="8" borderId="2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7" fillId="0" borderId="1" xfId="1" applyFont="1" applyBorder="1"/>
    <xf numFmtId="0" fontId="7" fillId="7" borderId="1" xfId="1" applyFont="1" applyFill="1" applyBorder="1" applyAlignment="1">
      <alignment horizontal="center"/>
    </xf>
    <xf numFmtId="0" fontId="7" fillId="3" borderId="0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7" xfId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6" fillId="1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</cellXfs>
  <cellStyles count="2">
    <cellStyle name="عادي" xfId="0" builtinId="0"/>
    <cellStyle name="عادي 2" xfId="1" xr:uid="{63E24A42-97DC-41FC-B55A-B3EED4890E4B}"/>
  </cellStyles>
  <dxfs count="63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implified Arab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numFmt numFmtId="164" formatCode="[$-1010000]yyyy/mm/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numFmt numFmtId="164" formatCode="[$-1010000]yyyy/mm/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numFmt numFmtId="164" formatCode="[$-1010000]yyyy/mm/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Simplified Arab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19E9B-3219-4232-91E2-CB673D2D0C28}" name="الجدول2" displayName="الجدول2" ref="A1:BF391" totalsRowShown="0" headerRowDxfId="62" dataDxfId="60" headerRowBorderDxfId="61" tableBorderDxfId="59">
  <autoFilter ref="A1:BF391" xr:uid="{05919E9B-3219-4232-91E2-CB673D2D0C28}">
    <filterColumn colId="29">
      <filters>
        <filter val="إجازة بلا أجر"/>
      </filters>
    </filterColumn>
  </autoFilter>
  <tableColumns count="58">
    <tableColumn id="1" xr3:uid="{2B2A7960-162A-4637-BE9A-BC47F8058768}" name="#" dataDxfId="58"/>
    <tableColumn id="2" xr3:uid="{9D5D5ACC-54BA-4172-B290-C95FB3DE1615}" name="كود" dataDxfId="57"/>
    <tableColumn id="3" xr3:uid="{5279E7EA-809F-45FB-B318-278CF74E7880}" name="الرقم الذاتي" dataDxfId="56"/>
    <tableColumn id="4" xr3:uid="{5ED068DF-FA2F-4F5E-BC44-5692E610B0DA}" name="الاسم الأول" dataDxfId="55"/>
    <tableColumn id="5" xr3:uid="{8592FA92-0FA1-444C-A835-D853D0A7F836}" name="اسم الأب" dataDxfId="54"/>
    <tableColumn id="6" xr3:uid="{201957ED-3238-40D2-B014-BE2FD8D2F779}" name="الكنية" dataDxfId="53"/>
    <tableColumn id="55" xr3:uid="{26E46E00-A8A6-4E2C-9A02-3F881FAE3663}" name="الاسم الثلاثي" dataDxfId="52">
      <calculatedColumnFormula>CONCATENATE(TRIM(الجدول2[[#This Row],[الاسم الأول]])," ",TRIM(الجدول2[[#This Row],[اسم الأب]])," ",TRIM(الجدول2[[#This Row],[الكنية]]))</calculatedColumnFormula>
    </tableColumn>
    <tableColumn id="7" xr3:uid="{635DE3F1-41ED-4EE9-9245-5D49E6502244}" name="اسم الأم والكنية" dataDxfId="51"/>
    <tableColumn id="8" xr3:uid="{B051771D-1847-486F-95DE-F266D9D07E0F}" name="الرقم الوطني" dataDxfId="50"/>
    <tableColumn id="9" xr3:uid="{6E923656-96C9-4819-94A6-16151B98CF1B}" name="الجنسية" dataDxfId="49"/>
    <tableColumn id="10" xr3:uid="{C509EEF5-886C-48C4-8082-AFC3F14F3CC7}" name="المحافظة" dataDxfId="48"/>
    <tableColumn id="11" xr3:uid="{B6B67261-3933-4722-8794-FB489CCFAEE3}" name="المنطقة - المدينة" dataDxfId="47"/>
    <tableColumn id="12" xr3:uid="{4E62D8AC-2A61-466F-B8B2-8D4F09ED6D68}" name="الناحية" dataDxfId="46"/>
    <tableColumn id="13" xr3:uid="{08405A77-2E1E-4F5F-B4DD-4791C2AA8A31}" name="محل الولادة" dataDxfId="45"/>
    <tableColumn id="14" xr3:uid="{D733B7D3-75EC-4289-B864-9F40D8B3CD56}" name="تاريخ الولادة" dataDxfId="44"/>
    <tableColumn id="15" xr3:uid="{BDE73A3B-2C76-46FF-8FBC-D82CD0B46091}" name="القيد" dataDxfId="43"/>
    <tableColumn id="16" xr3:uid="{0B0C1372-BBDD-4BFE-9B92-7E8DD05B8812}" name="الجنس" dataDxfId="42"/>
    <tableColumn id="17" xr3:uid="{018F0D6F-E175-4989-9F6F-7452DCB5EE95}" name="رقم الهاتف" dataDxfId="41"/>
    <tableColumn id="18" xr3:uid="{C2D83D20-4954-4603-B6E2-EA6D6879B384}" name="الوضع العائلي" dataDxfId="40"/>
    <tableColumn id="19" xr3:uid="{73661054-2E10-47E7-9730-C0C03C9F830F}" name="عدد الزوجات" dataDxfId="39"/>
    <tableColumn id="20" xr3:uid="{BBF2DC21-09CB-4E3B-939B-82F6D67D969C}" name="عدد الأبناء" dataDxfId="38"/>
    <tableColumn id="21" xr3:uid="{E81FBEDE-6213-483E-9EF9-72433B4DDF81}" name="السوية التنظيمية الأولى" dataDxfId="37"/>
    <tableColumn id="22" xr3:uid="{70B5AF16-03A7-41D7-A16D-2801BB8B47DB}" name="السوية التنظيمية الثانية" dataDxfId="36"/>
    <tableColumn id="23" xr3:uid="{4833F4B7-9DD0-40D5-B6AC-A7F240CA3987}" name="السوية التنظيمية الثالثة" dataDxfId="35"/>
    <tableColumn id="24" xr3:uid="{9165361D-DD7D-4A01-83D5-46779A8C808A}" name="السوية التنظيمية الرابعة" dataDxfId="34"/>
    <tableColumn id="25" xr3:uid="{CE276B5B-0236-4BC4-B1C5-0A08965E04EA}" name="السوية التنظيمية الخامسة" dataDxfId="33"/>
    <tableColumn id="26" xr3:uid="{E80CBFFB-41F8-4045-BF67-57D8EF417360}" name="السوية التنظيمية السادسة" dataDxfId="32"/>
    <tableColumn id="27" xr3:uid="{78758241-F71E-46D0-869B-71ECD92636A1}" name="المسمى الوظيفي الحالي" dataDxfId="31"/>
    <tableColumn id="28" xr3:uid="{A26AE8F7-3CE4-4D19-9B4A-E775EB7FF45A}" name="مثبت-متعاقد" dataDxfId="30"/>
    <tableColumn id="29" xr3:uid="{A96AA305-E6B0-46BE-A4F9-0115D233B2CC}" name="الحالة" dataDxfId="29"/>
    <tableColumn id="30" xr3:uid="{A6A702FF-D0C4-414A-9FD3-E37088D5FA62}" name="تاريخ التعيين" dataDxfId="28"/>
    <tableColumn id="31" xr3:uid="{E8A6E69F-AB68-420B-A815-2F33A486924B}" name="نمط التعيين أو التعاقد" dataDxfId="27"/>
    <tableColumn id="32" xr3:uid="{D2C1A968-F058-4142-B66F-71B7F889BE76}" name="اذكر نمط التعيين أو التعاقد" dataDxfId="26"/>
    <tableColumn id="33" xr3:uid="{F45EE38E-3C55-40ED-9CF3-F753645995DF}" name="الفئة الوظيفية الحالية" dataDxfId="25"/>
    <tableColumn id="34" xr3:uid="{8810FCAE-71B7-470D-BB53-C70E80111EA1}" name="المؤهل العلمي المعيين على أساسه أو المعدل فئته عليه" dataDxfId="24"/>
    <tableColumn id="35" xr3:uid="{CA6CE9DF-47C3-4A7B-A35C-43C0445C9D10}" name="الاختصاص" dataDxfId="23"/>
    <tableColumn id="36" xr3:uid="{A307C459-CD50-49E2-A126-5810C44E79DE}" name="السكن (المحافظة)" dataDxfId="22"/>
    <tableColumn id="37" xr3:uid="{AAD8A3AE-FFDD-4643-BC15-1634A006C8B3}" name="السكن (المنطقة - المدينة)" dataDxfId="21"/>
    <tableColumn id="38" xr3:uid="{A32E528C-D991-43F1-8D11-214FCF3D6911}" name="نوع السكن" dataDxfId="20"/>
    <tableColumn id="39" xr3:uid="{06A148D4-4B1F-4096-9AF6-A0098AB674D4}" name="هل ( الزوج /الزوجة ) موظف في القطاع الحكومي؟" dataDxfId="19"/>
    <tableColumn id="40" xr3:uid="{80E21F2D-A9C3-422D-BDFD-734DDEE7ED94}" name="الاسم الثلاثي لــ( الزوج/الزوجة ) في حال كان موظف" dataDxfId="18"/>
    <tableColumn id="41" xr3:uid="{1C0E8DE8-60B0-4B7A-8785-DF37CD575FAC}" name="الجهة التي يعمل بها (الزوج/الزوجة) في حال كان موظف" dataDxfId="17"/>
    <tableColumn id="42" xr3:uid="{D4FF8329-10EC-4540-8A99-D9AF5CD2CAC4}" name="الحالة الصحية" dataDxfId="16"/>
    <tableColumn id="43" xr3:uid="{B1D73F18-9748-4030-AF93-17E12E09DF80}" name="تفصيل الإصابة أو المرض" dataDxfId="15"/>
    <tableColumn id="44" xr3:uid="{C20F1299-8710-45C9-9A5C-321AB998F4BF}" name="زمرة الدم" dataDxfId="14"/>
    <tableColumn id="45" xr3:uid="{C4CA84E6-4254-466A-82EB-9B45548A7A8D}" name="نوع الشهادة الحاصل عليها" dataDxfId="13"/>
    <tableColumn id="46" xr3:uid="{B15980E5-691C-4CAC-9FD8-3E114A964A3F}" name="وجود الوثيقة" dataDxfId="12"/>
    <tableColumn id="47" xr3:uid="{C731CC9E-10DF-4FDE-BF0A-11C5B5B8EFB2}" name="الجامعة" dataDxfId="11"/>
    <tableColumn id="48" xr3:uid="{C1577DEF-118C-4294-BA63-FD0BE2CF8CE2}" name="الكلية-المعهد" dataDxfId="10"/>
    <tableColumn id="49" xr3:uid="{D49EDAAD-BCCC-4FF4-88B3-008F3B76E6C1}" name="الاختصاص2" dataDxfId="9"/>
    <tableColumn id="50" xr3:uid="{1AD81D8D-BBFF-4AE0-A391-8AB7F5E4CF8E}" name="عام الحصول عليها" dataDxfId="8"/>
    <tableColumn id="51" xr3:uid="{B003949F-7207-465E-BB5E-1F57AADA100C}" name="هل لديك شهادة عليا في الإدارة؟" dataDxfId="7"/>
    <tableColumn id="52" xr3:uid="{3FC4F714-4829-482F-9F57-129950259DAB}" name="ملاحظات" dataDxfId="6"/>
    <tableColumn id="56" xr3:uid="{FE951EB0-199B-465E-A867-78D44ACA36DB}" name="مكان الدوام" dataDxfId="5"/>
    <tableColumn id="57" xr3:uid="{9920B7CE-5136-4594-A945-AE384C8CC936}" name="ملاك أو خارج الملاك" dataDxfId="4"/>
    <tableColumn id="53" xr3:uid="{D18B85D3-D625-41B9-972C-D3744BFC4547}" name="_id" dataDxfId="3"/>
    <tableColumn id="54" xr3:uid="{0EBD10E6-F7FF-49E8-81BE-AB9EA69E6DB1}" name="_index" dataDxfId="2"/>
    <tableColumn id="58" xr3:uid="{3CA1BAB3-23E9-4F34-A799-0F79AD547CDF}" name="آخر راتب مقطوع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7FA4-2EB7-48E0-8382-A27430BBEA8F}">
  <dimension ref="A1:BF391"/>
  <sheetViews>
    <sheetView rightToLeft="1" zoomScale="85" zoomScaleNormal="85" workbookViewId="0">
      <pane xSplit="6" ySplit="1" topLeftCell="AX23" activePane="bottomRight" state="frozen"/>
      <selection pane="topRight" activeCell="G1" sqref="G1"/>
      <selection pane="bottomLeft" activeCell="A2" sqref="A2"/>
      <selection pane="bottomRight" activeCell="BB23" sqref="BB23:BB364"/>
    </sheetView>
  </sheetViews>
  <sheetFormatPr defaultRowHeight="13.8" x14ac:dyDescent="0.25"/>
  <cols>
    <col min="1" max="1" width="6" bestFit="1" customWidth="1"/>
    <col min="2" max="2" width="7.09765625" bestFit="1" customWidth="1"/>
    <col min="3" max="3" width="12.19921875" bestFit="1" customWidth="1"/>
    <col min="4" max="4" width="11.59765625" bestFit="1" customWidth="1"/>
    <col min="5" max="5" width="10.19921875" bestFit="1" customWidth="1"/>
    <col min="6" max="6" width="8.19921875" bestFit="1" customWidth="1"/>
    <col min="7" max="7" width="17.19921875" customWidth="1"/>
    <col min="8" max="8" width="14.3984375" bestFit="1" customWidth="1"/>
    <col min="9" max="9" width="13" style="1" bestFit="1" customWidth="1"/>
    <col min="10" max="10" width="9.69921875" bestFit="1" customWidth="1"/>
    <col min="11" max="11" width="10.5" bestFit="1" customWidth="1"/>
    <col min="12" max="12" width="15.19921875" bestFit="1" customWidth="1"/>
    <col min="13" max="13" width="15.09765625" bestFit="1" customWidth="1"/>
    <col min="14" max="14" width="12.5" bestFit="1" customWidth="1"/>
    <col min="15" max="15" width="12.69921875" style="7" bestFit="1" customWidth="1"/>
    <col min="16" max="16" width="15.8984375" bestFit="1" customWidth="1"/>
    <col min="18" max="18" width="11.59765625" style="1" bestFit="1" customWidth="1"/>
    <col min="19" max="19" width="13.8984375" bestFit="1" customWidth="1"/>
    <col min="20" max="20" width="13.09765625" bestFit="1" customWidth="1"/>
    <col min="21" max="21" width="11.5" bestFit="1" customWidth="1"/>
    <col min="22" max="22" width="25" bestFit="1" customWidth="1"/>
    <col min="23" max="23" width="19.5" bestFit="1" customWidth="1"/>
    <col min="24" max="24" width="23.8984375" bestFit="1" customWidth="1"/>
    <col min="25" max="25" width="23.19921875" bestFit="1" customWidth="1"/>
    <col min="26" max="26" width="24.09765625" bestFit="1" customWidth="1"/>
    <col min="27" max="27" width="20.8984375" bestFit="1" customWidth="1"/>
    <col min="28" max="28" width="22.59765625" bestFit="1" customWidth="1"/>
    <col min="29" max="29" width="12.09765625" bestFit="1" customWidth="1"/>
    <col min="30" max="30" width="10" bestFit="1" customWidth="1"/>
    <col min="31" max="31" width="12.796875" style="7" bestFit="1" customWidth="1"/>
    <col min="32" max="32" width="19" bestFit="1" customWidth="1"/>
    <col min="33" max="33" width="21.19921875" bestFit="1" customWidth="1"/>
    <col min="34" max="34" width="18.3984375" bestFit="1" customWidth="1"/>
    <col min="35" max="35" width="39.19921875" bestFit="1" customWidth="1"/>
    <col min="36" max="36" width="33.69921875" bestFit="1" customWidth="1"/>
    <col min="37" max="37" width="16" bestFit="1" customWidth="1"/>
    <col min="38" max="38" width="20.8984375" bestFit="1" customWidth="1"/>
    <col min="39" max="39" width="11.5" bestFit="1" customWidth="1"/>
    <col min="40" max="40" width="37" bestFit="1" customWidth="1"/>
    <col min="41" max="41" width="38.19921875" bestFit="1" customWidth="1"/>
    <col min="42" max="42" width="40.59765625" bestFit="1" customWidth="1"/>
    <col min="43" max="43" width="13.8984375" bestFit="1" customWidth="1"/>
    <col min="44" max="44" width="26.59765625" bestFit="1" customWidth="1"/>
    <col min="45" max="45" width="10.5" bestFit="1" customWidth="1"/>
    <col min="46" max="46" width="22" bestFit="1" customWidth="1"/>
    <col min="47" max="47" width="13" bestFit="1" customWidth="1"/>
    <col min="48" max="48" width="12.3984375" bestFit="1" customWidth="1"/>
    <col min="49" max="49" width="30.5" bestFit="1" customWidth="1"/>
    <col min="50" max="50" width="21.3984375" bestFit="1" customWidth="1"/>
    <col min="51" max="51" width="16.69921875" style="7" bestFit="1" customWidth="1"/>
    <col min="52" max="52" width="24.5" bestFit="1" customWidth="1"/>
    <col min="53" max="53" width="28.59765625" customWidth="1"/>
    <col min="54" max="54" width="15.09765625" bestFit="1" customWidth="1"/>
    <col min="55" max="55" width="17.69921875" bestFit="1" customWidth="1"/>
    <col min="56" max="57" width="10.796875" bestFit="1" customWidth="1"/>
    <col min="58" max="58" width="18.09765625" style="8" bestFit="1" customWidth="1"/>
  </cols>
  <sheetData>
    <row r="1" spans="1:58" x14ac:dyDescent="0.25">
      <c r="A1" s="2" t="s">
        <v>2356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2360</v>
      </c>
      <c r="H1" s="3" t="s">
        <v>5</v>
      </c>
      <c r="I1" s="5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6" t="s">
        <v>12</v>
      </c>
      <c r="P1" s="3" t="s">
        <v>13</v>
      </c>
      <c r="Q1" s="3" t="s">
        <v>14</v>
      </c>
      <c r="R1" s="5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6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6" t="s">
        <v>48</v>
      </c>
      <c r="AZ1" s="3" t="s">
        <v>49</v>
      </c>
      <c r="BA1" s="3" t="s">
        <v>50</v>
      </c>
      <c r="BB1" s="3" t="s">
        <v>2357</v>
      </c>
      <c r="BC1" s="3" t="s">
        <v>2361</v>
      </c>
      <c r="BD1" s="3" t="s">
        <v>51</v>
      </c>
      <c r="BE1" s="4" t="s">
        <v>52</v>
      </c>
      <c r="BF1" s="32" t="s">
        <v>2557</v>
      </c>
    </row>
    <row r="2" spans="1:58" s="51" customFormat="1" ht="23.4" hidden="1" x14ac:dyDescent="0.25">
      <c r="A2" s="46">
        <v>1</v>
      </c>
      <c r="B2" s="47">
        <v>122</v>
      </c>
      <c r="C2" s="47">
        <v>1634548</v>
      </c>
      <c r="D2" s="47" t="s">
        <v>53</v>
      </c>
      <c r="E2" s="47" t="s">
        <v>54</v>
      </c>
      <c r="F2" s="47" t="s">
        <v>55</v>
      </c>
      <c r="G2" s="47" t="str">
        <f>CONCATENATE(TRIM(الجدول2[[#This Row],[الاسم الأول]])," ",TRIM(الجدول2[[#This Row],[اسم الأب]])," ",TRIM(الجدول2[[#This Row],[الكنية]]))</f>
        <v>ابراهيم فؤاد حسن</v>
      </c>
      <c r="H2" s="47" t="s">
        <v>56</v>
      </c>
      <c r="I2" s="48" t="s">
        <v>57</v>
      </c>
      <c r="J2" s="47" t="s">
        <v>58</v>
      </c>
      <c r="K2" s="47" t="s">
        <v>59</v>
      </c>
      <c r="L2" s="47" t="s">
        <v>59</v>
      </c>
      <c r="M2" s="47" t="s">
        <v>60</v>
      </c>
      <c r="N2" s="47" t="s">
        <v>61</v>
      </c>
      <c r="O2" s="49">
        <v>35141</v>
      </c>
      <c r="P2" s="47" t="s">
        <v>62</v>
      </c>
      <c r="Q2" s="47" t="s">
        <v>63</v>
      </c>
      <c r="R2" s="48" t="s">
        <v>64</v>
      </c>
      <c r="S2" s="47" t="s">
        <v>65</v>
      </c>
      <c r="T2" s="47"/>
      <c r="U2" s="47"/>
      <c r="V2" s="47" t="s">
        <v>66</v>
      </c>
      <c r="W2" s="47" t="s">
        <v>67</v>
      </c>
      <c r="X2" s="47" t="s">
        <v>68</v>
      </c>
      <c r="Y2" s="47" t="s">
        <v>69</v>
      </c>
      <c r="Z2" s="47" t="s">
        <v>70</v>
      </c>
      <c r="AA2" s="47" t="s">
        <v>71</v>
      </c>
      <c r="AB2" s="47" t="s">
        <v>72</v>
      </c>
      <c r="AC2" s="47" t="s">
        <v>73</v>
      </c>
      <c r="AD2" s="47" t="s">
        <v>74</v>
      </c>
      <c r="AE2" s="49">
        <v>45522</v>
      </c>
      <c r="AF2" s="47" t="s">
        <v>75</v>
      </c>
      <c r="AG2" s="47"/>
      <c r="AH2" s="47" t="s">
        <v>2277</v>
      </c>
      <c r="AI2" s="47" t="s">
        <v>76</v>
      </c>
      <c r="AJ2" s="47" t="s">
        <v>77</v>
      </c>
      <c r="AK2" s="47" t="s">
        <v>59</v>
      </c>
      <c r="AL2" s="47" t="s">
        <v>78</v>
      </c>
      <c r="AM2" s="47" t="s">
        <v>79</v>
      </c>
      <c r="AN2" s="47" t="s">
        <v>80</v>
      </c>
      <c r="AO2" s="47"/>
      <c r="AP2" s="47"/>
      <c r="AQ2" s="47" t="s">
        <v>81</v>
      </c>
      <c r="AR2" s="47"/>
      <c r="AS2" s="47" t="s">
        <v>82</v>
      </c>
      <c r="AT2" s="47" t="s">
        <v>76</v>
      </c>
      <c r="AU2" s="47" t="s">
        <v>83</v>
      </c>
      <c r="AV2" s="47" t="s">
        <v>84</v>
      </c>
      <c r="AW2" s="47" t="s">
        <v>77</v>
      </c>
      <c r="AX2" s="47" t="s">
        <v>85</v>
      </c>
      <c r="AY2" s="49">
        <v>44180</v>
      </c>
      <c r="AZ2" s="47" t="s">
        <v>80</v>
      </c>
      <c r="BA2" s="47"/>
      <c r="BB2" s="47" t="s">
        <v>2359</v>
      </c>
      <c r="BC2" s="47" t="s">
        <v>2542</v>
      </c>
      <c r="BD2" s="47">
        <v>524131068</v>
      </c>
      <c r="BE2" s="50">
        <v>6320</v>
      </c>
      <c r="BF2" s="53">
        <v>943000</v>
      </c>
    </row>
    <row r="3" spans="1:58" s="51" customFormat="1" ht="23.4" hidden="1" x14ac:dyDescent="0.25">
      <c r="A3" s="46">
        <v>2</v>
      </c>
      <c r="B3" s="47">
        <v>306</v>
      </c>
      <c r="C3" s="47">
        <v>1634542</v>
      </c>
      <c r="D3" s="47" t="s">
        <v>86</v>
      </c>
      <c r="E3" s="47" t="s">
        <v>87</v>
      </c>
      <c r="F3" s="47" t="s">
        <v>53</v>
      </c>
      <c r="G3" s="47" t="str">
        <f>CONCATENATE(TRIM(الجدول2[[#This Row],[الاسم الأول]])," ",TRIM(الجدول2[[#This Row],[اسم الأب]])," ",TRIM(الجدول2[[#This Row],[الكنية]]))</f>
        <v>احمد صلاح ابراهيم</v>
      </c>
      <c r="H3" s="47" t="s">
        <v>88</v>
      </c>
      <c r="I3" s="48" t="s">
        <v>89</v>
      </c>
      <c r="J3" s="47" t="s">
        <v>58</v>
      </c>
      <c r="K3" s="47" t="s">
        <v>59</v>
      </c>
      <c r="L3" s="47" t="s">
        <v>90</v>
      </c>
      <c r="M3" s="47" t="s">
        <v>91</v>
      </c>
      <c r="N3" s="47" t="s">
        <v>59</v>
      </c>
      <c r="O3" s="49">
        <v>35796</v>
      </c>
      <c r="P3" s="47" t="s">
        <v>92</v>
      </c>
      <c r="Q3" s="47" t="s">
        <v>63</v>
      </c>
      <c r="R3" s="48" t="s">
        <v>93</v>
      </c>
      <c r="S3" s="47" t="s">
        <v>65</v>
      </c>
      <c r="T3" s="47"/>
      <c r="U3" s="47"/>
      <c r="V3" s="47" t="s">
        <v>66</v>
      </c>
      <c r="W3" s="47" t="s">
        <v>67</v>
      </c>
      <c r="X3" s="47" t="s">
        <v>68</v>
      </c>
      <c r="Y3" s="47" t="s">
        <v>94</v>
      </c>
      <c r="Z3" s="47" t="s">
        <v>95</v>
      </c>
      <c r="AA3" s="47" t="s">
        <v>96</v>
      </c>
      <c r="AB3" s="47" t="s">
        <v>97</v>
      </c>
      <c r="AC3" s="47" t="s">
        <v>73</v>
      </c>
      <c r="AD3" s="47" t="s">
        <v>74</v>
      </c>
      <c r="AE3" s="49">
        <v>45522</v>
      </c>
      <c r="AF3" s="47" t="s">
        <v>75</v>
      </c>
      <c r="AG3" s="47"/>
      <c r="AH3" s="47" t="s">
        <v>2277</v>
      </c>
      <c r="AI3" s="47" t="s">
        <v>76</v>
      </c>
      <c r="AJ3" s="47" t="s">
        <v>98</v>
      </c>
      <c r="AK3" s="47" t="s">
        <v>59</v>
      </c>
      <c r="AL3" s="47" t="s">
        <v>59</v>
      </c>
      <c r="AM3" s="47" t="s">
        <v>99</v>
      </c>
      <c r="AN3" s="47" t="s">
        <v>80</v>
      </c>
      <c r="AO3" s="47"/>
      <c r="AP3" s="47"/>
      <c r="AQ3" s="47" t="s">
        <v>81</v>
      </c>
      <c r="AR3" s="47"/>
      <c r="AS3" s="47" t="s">
        <v>82</v>
      </c>
      <c r="AT3" s="47" t="s">
        <v>76</v>
      </c>
      <c r="AU3" s="47" t="s">
        <v>83</v>
      </c>
      <c r="AV3" s="47" t="s">
        <v>59</v>
      </c>
      <c r="AW3" s="47" t="s">
        <v>98</v>
      </c>
      <c r="AX3" s="47" t="s">
        <v>100</v>
      </c>
      <c r="AY3" s="49">
        <v>44138</v>
      </c>
      <c r="AZ3" s="47" t="s">
        <v>80</v>
      </c>
      <c r="BA3" s="47"/>
      <c r="BB3" s="47" t="s">
        <v>2359</v>
      </c>
      <c r="BC3" s="47" t="s">
        <v>2542</v>
      </c>
      <c r="BD3" s="47">
        <v>522373325</v>
      </c>
      <c r="BE3" s="50">
        <v>944</v>
      </c>
      <c r="BF3" s="53">
        <v>943000</v>
      </c>
    </row>
    <row r="4" spans="1:58" s="51" customFormat="1" ht="23.4" hidden="1" x14ac:dyDescent="0.25">
      <c r="A4" s="46">
        <v>3</v>
      </c>
      <c r="B4" s="47">
        <v>416</v>
      </c>
      <c r="C4" s="47">
        <v>1634542</v>
      </c>
      <c r="D4" s="47" t="s">
        <v>86</v>
      </c>
      <c r="E4" s="47" t="s">
        <v>101</v>
      </c>
      <c r="F4" s="47" t="s">
        <v>102</v>
      </c>
      <c r="G4" s="47" t="str">
        <f>CONCATENATE(TRIM(الجدول2[[#This Row],[الاسم الأول]])," ",TRIM(الجدول2[[#This Row],[اسم الأب]])," ",TRIM(الجدول2[[#This Row],[الكنية]]))</f>
        <v>احمد كامل حمدان</v>
      </c>
      <c r="H4" s="47" t="s">
        <v>103</v>
      </c>
      <c r="I4" s="48" t="s">
        <v>104</v>
      </c>
      <c r="J4" s="47" t="s">
        <v>58</v>
      </c>
      <c r="K4" s="47" t="s">
        <v>59</v>
      </c>
      <c r="L4" s="47" t="s">
        <v>105</v>
      </c>
      <c r="M4" s="47" t="s">
        <v>106</v>
      </c>
      <c r="N4" s="47" t="s">
        <v>59</v>
      </c>
      <c r="O4" s="49">
        <v>34133</v>
      </c>
      <c r="P4" s="47" t="s">
        <v>107</v>
      </c>
      <c r="Q4" s="47" t="s">
        <v>63</v>
      </c>
      <c r="R4" s="48" t="s">
        <v>108</v>
      </c>
      <c r="S4" s="47" t="s">
        <v>109</v>
      </c>
      <c r="T4" s="47">
        <v>1</v>
      </c>
      <c r="U4" s="47">
        <v>0</v>
      </c>
      <c r="V4" s="47" t="s">
        <v>66</v>
      </c>
      <c r="W4" s="47" t="s">
        <v>67</v>
      </c>
      <c r="X4" s="47" t="s">
        <v>68</v>
      </c>
      <c r="Y4" s="47" t="s">
        <v>94</v>
      </c>
      <c r="Z4" s="47" t="s">
        <v>95</v>
      </c>
      <c r="AA4" s="47" t="s">
        <v>110</v>
      </c>
      <c r="AB4" s="47" t="s">
        <v>111</v>
      </c>
      <c r="AC4" s="47" t="s">
        <v>73</v>
      </c>
      <c r="AD4" s="47" t="s">
        <v>74</v>
      </c>
      <c r="AE4" s="49">
        <v>45522</v>
      </c>
      <c r="AF4" s="47" t="s">
        <v>75</v>
      </c>
      <c r="AG4" s="47"/>
      <c r="AH4" s="47" t="s">
        <v>2277</v>
      </c>
      <c r="AI4" s="47" t="s">
        <v>76</v>
      </c>
      <c r="AJ4" s="47" t="s">
        <v>112</v>
      </c>
      <c r="AK4" s="47" t="s">
        <v>59</v>
      </c>
      <c r="AL4" s="47" t="s">
        <v>105</v>
      </c>
      <c r="AM4" s="47" t="s">
        <v>99</v>
      </c>
      <c r="AN4" s="47" t="s">
        <v>80</v>
      </c>
      <c r="AO4" s="47"/>
      <c r="AP4" s="47"/>
      <c r="AQ4" s="47" t="s">
        <v>81</v>
      </c>
      <c r="AR4" s="47"/>
      <c r="AS4" s="47" t="s">
        <v>82</v>
      </c>
      <c r="AT4" s="47" t="s">
        <v>76</v>
      </c>
      <c r="AU4" s="47" t="s">
        <v>83</v>
      </c>
      <c r="AV4" s="47" t="s">
        <v>84</v>
      </c>
      <c r="AW4" s="47" t="s">
        <v>113</v>
      </c>
      <c r="AX4" s="47" t="s">
        <v>114</v>
      </c>
      <c r="AY4" s="49">
        <v>44392</v>
      </c>
      <c r="AZ4" s="47" t="s">
        <v>80</v>
      </c>
      <c r="BA4" s="47"/>
      <c r="BB4" s="47" t="s">
        <v>2359</v>
      </c>
      <c r="BC4" s="47" t="s">
        <v>2542</v>
      </c>
      <c r="BD4" s="47">
        <v>522369389</v>
      </c>
      <c r="BE4" s="50">
        <v>922</v>
      </c>
      <c r="BF4" s="53">
        <v>943000</v>
      </c>
    </row>
    <row r="5" spans="1:58" s="51" customFormat="1" ht="23.4" hidden="1" x14ac:dyDescent="0.25">
      <c r="A5" s="46">
        <v>4</v>
      </c>
      <c r="B5" s="47">
        <v>493</v>
      </c>
      <c r="C5" s="47"/>
      <c r="D5" s="47" t="s">
        <v>86</v>
      </c>
      <c r="E5" s="47" t="s">
        <v>115</v>
      </c>
      <c r="F5" s="47" t="s">
        <v>116</v>
      </c>
      <c r="G5" s="47" t="str">
        <f>CONCATENATE(TRIM(الجدول2[[#This Row],[الاسم الأول]])," ",TRIM(الجدول2[[#This Row],[اسم الأب]])," ",TRIM(الجدول2[[#This Row],[الكنية]]))</f>
        <v>احمد محمد يوسف</v>
      </c>
      <c r="H5" s="47" t="s">
        <v>117</v>
      </c>
      <c r="I5" s="48" t="s">
        <v>118</v>
      </c>
      <c r="J5" s="47" t="s">
        <v>58</v>
      </c>
      <c r="K5" s="47" t="s">
        <v>59</v>
      </c>
      <c r="L5" s="47" t="s">
        <v>59</v>
      </c>
      <c r="M5" s="47" t="s">
        <v>60</v>
      </c>
      <c r="N5" s="47" t="s">
        <v>59</v>
      </c>
      <c r="O5" s="49">
        <v>29438</v>
      </c>
      <c r="P5" s="47" t="s">
        <v>119</v>
      </c>
      <c r="Q5" s="47" t="s">
        <v>63</v>
      </c>
      <c r="R5" s="48" t="s">
        <v>120</v>
      </c>
      <c r="S5" s="47" t="s">
        <v>109</v>
      </c>
      <c r="T5" s="47">
        <v>1</v>
      </c>
      <c r="U5" s="47">
        <v>3</v>
      </c>
      <c r="V5" s="47" t="s">
        <v>66</v>
      </c>
      <c r="W5" s="47" t="s">
        <v>67</v>
      </c>
      <c r="X5" s="47" t="s">
        <v>68</v>
      </c>
      <c r="Y5" s="47" t="s">
        <v>121</v>
      </c>
      <c r="Z5" s="47"/>
      <c r="AA5" s="47"/>
      <c r="AB5" s="47" t="s">
        <v>122</v>
      </c>
      <c r="AC5" s="47" t="s">
        <v>73</v>
      </c>
      <c r="AD5" s="47" t="s">
        <v>74</v>
      </c>
      <c r="AE5" s="49">
        <v>41294</v>
      </c>
      <c r="AF5" s="47" t="s">
        <v>123</v>
      </c>
      <c r="AG5" s="47"/>
      <c r="AH5" s="47" t="s">
        <v>124</v>
      </c>
      <c r="AI5" s="47" t="s">
        <v>125</v>
      </c>
      <c r="AJ5" s="47"/>
      <c r="AK5" s="47" t="s">
        <v>59</v>
      </c>
      <c r="AL5" s="47" t="s">
        <v>59</v>
      </c>
      <c r="AM5" s="47" t="s">
        <v>99</v>
      </c>
      <c r="AN5" s="47" t="s">
        <v>83</v>
      </c>
      <c r="AO5" s="47" t="s">
        <v>126</v>
      </c>
      <c r="AP5" s="47" t="s">
        <v>127</v>
      </c>
      <c r="AQ5" s="47" t="s">
        <v>81</v>
      </c>
      <c r="AR5" s="47"/>
      <c r="AS5" s="47" t="s">
        <v>82</v>
      </c>
      <c r="AT5" s="47" t="s">
        <v>128</v>
      </c>
      <c r="AU5" s="47" t="s">
        <v>83</v>
      </c>
      <c r="AV5" s="47"/>
      <c r="AW5" s="47"/>
      <c r="AX5" s="47" t="s">
        <v>129</v>
      </c>
      <c r="AY5" s="49">
        <v>37480</v>
      </c>
      <c r="AZ5" s="47" t="s">
        <v>80</v>
      </c>
      <c r="BA5" s="47"/>
      <c r="BB5" s="47" t="s">
        <v>2359</v>
      </c>
      <c r="BC5" s="47" t="s">
        <v>2542</v>
      </c>
      <c r="BD5" s="47">
        <v>526022531</v>
      </c>
      <c r="BE5" s="50">
        <v>9258</v>
      </c>
      <c r="BF5" s="53">
        <v>1243000</v>
      </c>
    </row>
    <row r="6" spans="1:58" s="51" customFormat="1" ht="23.4" hidden="1" x14ac:dyDescent="0.25">
      <c r="A6" s="46">
        <v>5</v>
      </c>
      <c r="B6" s="47">
        <v>533</v>
      </c>
      <c r="C6" s="47">
        <v>16066203</v>
      </c>
      <c r="D6" s="47" t="s">
        <v>86</v>
      </c>
      <c r="E6" s="47" t="s">
        <v>130</v>
      </c>
      <c r="F6" s="47" t="s">
        <v>131</v>
      </c>
      <c r="G6" s="47" t="str">
        <f>CONCATENATE(TRIM(الجدول2[[#This Row],[الاسم الأول]])," ",TRIM(الجدول2[[#This Row],[اسم الأب]])," ",TRIM(الجدول2[[#This Row],[الكنية]]))</f>
        <v>احمد ميهوب علي</v>
      </c>
      <c r="H6" s="47" t="s">
        <v>132</v>
      </c>
      <c r="I6" s="48" t="s">
        <v>133</v>
      </c>
      <c r="J6" s="47" t="s">
        <v>58</v>
      </c>
      <c r="K6" s="47" t="s">
        <v>59</v>
      </c>
      <c r="L6" s="47" t="s">
        <v>59</v>
      </c>
      <c r="M6" s="47" t="s">
        <v>60</v>
      </c>
      <c r="N6" s="47" t="s">
        <v>134</v>
      </c>
      <c r="O6" s="49">
        <v>28235</v>
      </c>
      <c r="P6" s="47" t="s">
        <v>135</v>
      </c>
      <c r="Q6" s="47" t="s">
        <v>63</v>
      </c>
      <c r="R6" s="48" t="s">
        <v>136</v>
      </c>
      <c r="S6" s="47" t="s">
        <v>65</v>
      </c>
      <c r="T6" s="47"/>
      <c r="U6" s="47"/>
      <c r="V6" s="47" t="s">
        <v>66</v>
      </c>
      <c r="W6" s="47" t="s">
        <v>67</v>
      </c>
      <c r="X6" s="47" t="s">
        <v>68</v>
      </c>
      <c r="Y6" s="47" t="s">
        <v>137</v>
      </c>
      <c r="Z6" s="47"/>
      <c r="AA6" s="47"/>
      <c r="AB6" s="47" t="s">
        <v>138</v>
      </c>
      <c r="AC6" s="47" t="s">
        <v>73</v>
      </c>
      <c r="AD6" s="47" t="s">
        <v>74</v>
      </c>
      <c r="AE6" s="49">
        <v>37469</v>
      </c>
      <c r="AF6" s="47" t="s">
        <v>139</v>
      </c>
      <c r="AG6" s="47"/>
      <c r="AH6" s="47" t="s">
        <v>140</v>
      </c>
      <c r="AI6" s="47" t="s">
        <v>125</v>
      </c>
      <c r="AJ6" s="47"/>
      <c r="AK6" s="47" t="s">
        <v>59</v>
      </c>
      <c r="AL6" s="47" t="s">
        <v>141</v>
      </c>
      <c r="AM6" s="47" t="s">
        <v>99</v>
      </c>
      <c r="AN6" s="47" t="s">
        <v>80</v>
      </c>
      <c r="AO6" s="47"/>
      <c r="AP6" s="47"/>
      <c r="AQ6" s="47" t="s">
        <v>81</v>
      </c>
      <c r="AR6" s="47"/>
      <c r="AS6" s="47" t="s">
        <v>142</v>
      </c>
      <c r="AT6" s="47" t="s">
        <v>143</v>
      </c>
      <c r="AU6" s="47" t="s">
        <v>83</v>
      </c>
      <c r="AV6" s="47"/>
      <c r="AW6" s="47"/>
      <c r="AX6" s="47"/>
      <c r="AY6" s="49">
        <v>37461</v>
      </c>
      <c r="AZ6" s="47" t="s">
        <v>80</v>
      </c>
      <c r="BA6" s="47" t="s">
        <v>144</v>
      </c>
      <c r="BB6" s="47" t="s">
        <v>2358</v>
      </c>
      <c r="BC6" s="47" t="s">
        <v>2542</v>
      </c>
      <c r="BD6" s="47">
        <v>524131953</v>
      </c>
      <c r="BE6" s="50">
        <v>6335</v>
      </c>
      <c r="BF6" s="53">
        <v>1098000</v>
      </c>
    </row>
    <row r="7" spans="1:58" s="51" customFormat="1" ht="23.4" hidden="1" x14ac:dyDescent="0.25">
      <c r="A7" s="46">
        <v>6</v>
      </c>
      <c r="B7" s="47">
        <v>559</v>
      </c>
      <c r="C7" s="47">
        <v>1639597</v>
      </c>
      <c r="D7" s="47" t="s">
        <v>86</v>
      </c>
      <c r="E7" s="47" t="s">
        <v>145</v>
      </c>
      <c r="F7" s="47" t="s">
        <v>146</v>
      </c>
      <c r="G7" s="47" t="str">
        <f>CONCATENATE(TRIM(الجدول2[[#This Row],[الاسم الأول]])," ",TRIM(الجدول2[[#This Row],[اسم الأب]])," ",TRIM(الجدول2[[#This Row],[الكنية]]))</f>
        <v>احمد يونس ريا</v>
      </c>
      <c r="H7" s="47" t="s">
        <v>147</v>
      </c>
      <c r="I7" s="48" t="s">
        <v>148</v>
      </c>
      <c r="J7" s="47" t="s">
        <v>58</v>
      </c>
      <c r="K7" s="47" t="s">
        <v>59</v>
      </c>
      <c r="L7" s="47" t="s">
        <v>78</v>
      </c>
      <c r="M7" s="47" t="s">
        <v>149</v>
      </c>
      <c r="N7" s="47" t="s">
        <v>150</v>
      </c>
      <c r="O7" s="49">
        <v>28856</v>
      </c>
      <c r="P7" s="47" t="s">
        <v>150</v>
      </c>
      <c r="Q7" s="47" t="s">
        <v>63</v>
      </c>
      <c r="R7" s="48" t="s">
        <v>151</v>
      </c>
      <c r="S7" s="47" t="s">
        <v>109</v>
      </c>
      <c r="T7" s="47">
        <v>1</v>
      </c>
      <c r="U7" s="47">
        <v>3</v>
      </c>
      <c r="V7" s="47" t="s">
        <v>66</v>
      </c>
      <c r="W7" s="47" t="s">
        <v>67</v>
      </c>
      <c r="X7" s="47" t="s">
        <v>68</v>
      </c>
      <c r="Y7" s="47" t="s">
        <v>152</v>
      </c>
      <c r="Z7" s="47" t="s">
        <v>153</v>
      </c>
      <c r="AA7" s="47"/>
      <c r="AB7" s="47" t="s">
        <v>154</v>
      </c>
      <c r="AC7" s="47" t="s">
        <v>155</v>
      </c>
      <c r="AD7" s="47" t="s">
        <v>74</v>
      </c>
      <c r="AE7" s="49">
        <v>44927</v>
      </c>
      <c r="AF7" s="47" t="s">
        <v>156</v>
      </c>
      <c r="AG7" s="47"/>
      <c r="AH7" s="47" t="s">
        <v>157</v>
      </c>
      <c r="AI7" s="47" t="s">
        <v>143</v>
      </c>
      <c r="AJ7" s="47"/>
      <c r="AK7" s="47" t="s">
        <v>59</v>
      </c>
      <c r="AL7" s="47" t="s">
        <v>59</v>
      </c>
      <c r="AM7" s="47" t="s">
        <v>158</v>
      </c>
      <c r="AN7" s="47" t="s">
        <v>80</v>
      </c>
      <c r="AO7" s="47"/>
      <c r="AP7" s="47"/>
      <c r="AQ7" s="47" t="s">
        <v>81</v>
      </c>
      <c r="AR7" s="47"/>
      <c r="AS7" s="47" t="s">
        <v>82</v>
      </c>
      <c r="AT7" s="47" t="s">
        <v>143</v>
      </c>
      <c r="AU7" s="47" t="s">
        <v>80</v>
      </c>
      <c r="AV7" s="47"/>
      <c r="AW7" s="47"/>
      <c r="AX7" s="47"/>
      <c r="AY7" s="49">
        <v>33077</v>
      </c>
      <c r="AZ7" s="47" t="s">
        <v>80</v>
      </c>
      <c r="BA7" s="47"/>
      <c r="BB7" s="47" t="s">
        <v>2358</v>
      </c>
      <c r="BC7" s="47" t="s">
        <v>2542</v>
      </c>
      <c r="BD7" s="47">
        <v>523228997</v>
      </c>
      <c r="BE7" s="50">
        <v>3327</v>
      </c>
      <c r="BF7" s="53">
        <v>918870</v>
      </c>
    </row>
    <row r="8" spans="1:58" s="51" customFormat="1" ht="23.4" hidden="1" x14ac:dyDescent="0.25">
      <c r="A8" s="46">
        <v>7</v>
      </c>
      <c r="B8" s="47">
        <v>577</v>
      </c>
      <c r="C8" s="47">
        <v>1121424</v>
      </c>
      <c r="D8" s="47" t="s">
        <v>159</v>
      </c>
      <c r="E8" s="47" t="s">
        <v>160</v>
      </c>
      <c r="F8" s="47" t="s">
        <v>161</v>
      </c>
      <c r="G8" s="47" t="str">
        <f>CONCATENATE(TRIM(الجدول2[[#This Row],[الاسم الأول]])," ",TRIM(الجدول2[[#This Row],[اسم الأب]])," ",TRIM(الجدول2[[#This Row],[الكنية]]))</f>
        <v>اديب صالح ملحم</v>
      </c>
      <c r="H8" s="47" t="s">
        <v>162</v>
      </c>
      <c r="I8" s="48" t="s">
        <v>163</v>
      </c>
      <c r="J8" s="47" t="s">
        <v>58</v>
      </c>
      <c r="K8" s="47" t="s">
        <v>59</v>
      </c>
      <c r="L8" s="47" t="s">
        <v>164</v>
      </c>
      <c r="M8" s="47" t="s">
        <v>165</v>
      </c>
      <c r="N8" s="47" t="s">
        <v>166</v>
      </c>
      <c r="O8" s="49">
        <v>35404</v>
      </c>
      <c r="P8" s="47" t="s">
        <v>167</v>
      </c>
      <c r="Q8" s="47" t="s">
        <v>63</v>
      </c>
      <c r="R8" s="48" t="s">
        <v>168</v>
      </c>
      <c r="S8" s="47" t="s">
        <v>109</v>
      </c>
      <c r="T8" s="47">
        <v>1</v>
      </c>
      <c r="U8" s="47">
        <v>3</v>
      </c>
      <c r="V8" s="47" t="s">
        <v>66</v>
      </c>
      <c r="W8" s="47" t="s">
        <v>67</v>
      </c>
      <c r="X8" s="47" t="s">
        <v>68</v>
      </c>
      <c r="Y8" s="47" t="s">
        <v>169</v>
      </c>
      <c r="Z8" s="47" t="s">
        <v>170</v>
      </c>
      <c r="AA8" s="47" t="s">
        <v>171</v>
      </c>
      <c r="AB8" s="47" t="s">
        <v>172</v>
      </c>
      <c r="AC8" s="47" t="s">
        <v>73</v>
      </c>
      <c r="AD8" s="47" t="s">
        <v>74</v>
      </c>
      <c r="AE8" s="49">
        <v>35745</v>
      </c>
      <c r="AF8" s="47" t="s">
        <v>139</v>
      </c>
      <c r="AG8" s="47"/>
      <c r="AH8" s="47" t="s">
        <v>140</v>
      </c>
      <c r="AI8" s="47" t="s">
        <v>143</v>
      </c>
      <c r="AJ8" s="47"/>
      <c r="AK8" s="47" t="s">
        <v>59</v>
      </c>
      <c r="AL8" s="47" t="s">
        <v>59</v>
      </c>
      <c r="AM8" s="47" t="s">
        <v>99</v>
      </c>
      <c r="AN8" s="47" t="s">
        <v>80</v>
      </c>
      <c r="AO8" s="47"/>
      <c r="AP8" s="47"/>
      <c r="AQ8" s="47" t="s">
        <v>81</v>
      </c>
      <c r="AR8" s="47"/>
      <c r="AS8" s="47" t="s">
        <v>173</v>
      </c>
      <c r="AT8" s="47" t="s">
        <v>143</v>
      </c>
      <c r="AU8" s="47" t="s">
        <v>83</v>
      </c>
      <c r="AV8" s="47"/>
      <c r="AW8" s="47"/>
      <c r="AX8" s="47"/>
      <c r="AY8" s="49">
        <v>31250</v>
      </c>
      <c r="AZ8" s="47" t="s">
        <v>80</v>
      </c>
      <c r="BA8" s="47"/>
      <c r="BB8" s="47" t="s">
        <v>2359</v>
      </c>
      <c r="BC8" s="47" t="s">
        <v>2542</v>
      </c>
      <c r="BD8" s="47">
        <v>522408927</v>
      </c>
      <c r="BE8" s="50">
        <v>1118</v>
      </c>
      <c r="BF8" s="53">
        <v>1098000</v>
      </c>
    </row>
    <row r="9" spans="1:58" s="51" customFormat="1" ht="23.4" hidden="1" x14ac:dyDescent="0.25">
      <c r="A9" s="46">
        <v>8</v>
      </c>
      <c r="B9" s="47">
        <v>758</v>
      </c>
      <c r="C9" s="47">
        <v>1634809</v>
      </c>
      <c r="D9" s="47" t="s">
        <v>174</v>
      </c>
      <c r="E9" s="47" t="s">
        <v>131</v>
      </c>
      <c r="F9" s="47" t="s">
        <v>175</v>
      </c>
      <c r="G9" s="47" t="str">
        <f>CONCATENATE(TRIM(الجدول2[[#This Row],[الاسم الأول]])," ",TRIM(الجدول2[[#This Row],[اسم الأب]])," ",TRIM(الجدول2[[#This Row],[الكنية]]))</f>
        <v>الهام علي اسماعيل</v>
      </c>
      <c r="H9" s="47" t="s">
        <v>176</v>
      </c>
      <c r="I9" s="48" t="s">
        <v>177</v>
      </c>
      <c r="J9" s="47" t="s">
        <v>58</v>
      </c>
      <c r="K9" s="47" t="s">
        <v>59</v>
      </c>
      <c r="L9" s="47" t="s">
        <v>59</v>
      </c>
      <c r="M9" s="47" t="s">
        <v>60</v>
      </c>
      <c r="N9" s="47" t="s">
        <v>59</v>
      </c>
      <c r="O9" s="49">
        <v>33318</v>
      </c>
      <c r="P9" s="47" t="s">
        <v>178</v>
      </c>
      <c r="Q9" s="47" t="s">
        <v>179</v>
      </c>
      <c r="R9" s="48" t="s">
        <v>180</v>
      </c>
      <c r="S9" s="47" t="s">
        <v>109</v>
      </c>
      <c r="T9" s="47"/>
      <c r="U9" s="47">
        <v>2</v>
      </c>
      <c r="V9" s="47" t="s">
        <v>66</v>
      </c>
      <c r="W9" s="47" t="s">
        <v>67</v>
      </c>
      <c r="X9" s="47" t="s">
        <v>68</v>
      </c>
      <c r="Y9" s="47" t="s">
        <v>137</v>
      </c>
      <c r="Z9" s="47"/>
      <c r="AA9" s="47"/>
      <c r="AB9" s="47" t="s">
        <v>181</v>
      </c>
      <c r="AC9" s="47" t="s">
        <v>155</v>
      </c>
      <c r="AD9" s="47" t="s">
        <v>74</v>
      </c>
      <c r="AE9" s="49">
        <v>41294</v>
      </c>
      <c r="AF9" s="47" t="s">
        <v>123</v>
      </c>
      <c r="AG9" s="47"/>
      <c r="AH9" s="47" t="s">
        <v>124</v>
      </c>
      <c r="AI9" s="47" t="s">
        <v>182</v>
      </c>
      <c r="AJ9" s="47" t="s">
        <v>183</v>
      </c>
      <c r="AK9" s="47" t="s">
        <v>59</v>
      </c>
      <c r="AL9" s="47" t="s">
        <v>164</v>
      </c>
      <c r="AM9" s="47" t="s">
        <v>99</v>
      </c>
      <c r="AN9" s="47" t="s">
        <v>80</v>
      </c>
      <c r="AO9" s="47"/>
      <c r="AP9" s="47"/>
      <c r="AQ9" s="47" t="s">
        <v>81</v>
      </c>
      <c r="AR9" s="47"/>
      <c r="AS9" s="47" t="s">
        <v>142</v>
      </c>
      <c r="AT9" s="47" t="s">
        <v>182</v>
      </c>
      <c r="AU9" s="47" t="s">
        <v>83</v>
      </c>
      <c r="AV9" s="47" t="s">
        <v>184</v>
      </c>
      <c r="AW9" s="47" t="s">
        <v>185</v>
      </c>
      <c r="AX9" s="47" t="s">
        <v>186</v>
      </c>
      <c r="AY9" s="49">
        <v>40544</v>
      </c>
      <c r="AZ9" s="47" t="s">
        <v>80</v>
      </c>
      <c r="BA9" s="47" t="s">
        <v>187</v>
      </c>
      <c r="BB9" s="47" t="s">
        <v>2358</v>
      </c>
      <c r="BC9" s="47" t="s">
        <v>2542</v>
      </c>
      <c r="BD9" s="47">
        <v>526603924</v>
      </c>
      <c r="BE9" s="50">
        <v>13980</v>
      </c>
      <c r="BF9" s="53">
        <v>1243000</v>
      </c>
    </row>
    <row r="10" spans="1:58" s="51" customFormat="1" ht="23.4" hidden="1" x14ac:dyDescent="0.25">
      <c r="A10" s="46">
        <v>9</v>
      </c>
      <c r="B10" s="47">
        <v>870</v>
      </c>
      <c r="C10" s="47">
        <v>1628604</v>
      </c>
      <c r="D10" s="47" t="s">
        <v>188</v>
      </c>
      <c r="E10" s="47" t="s">
        <v>189</v>
      </c>
      <c r="F10" s="47" t="s">
        <v>190</v>
      </c>
      <c r="G10" s="47" t="str">
        <f>CONCATENATE(TRIM(الجدول2[[#This Row],[الاسم الأول]])," ",TRIM(الجدول2[[#This Row],[اسم الأب]])," ",TRIM(الجدول2[[#This Row],[الكنية]]))</f>
        <v>اناغيم محمد علي أبو خضور</v>
      </c>
      <c r="H10" s="47" t="s">
        <v>191</v>
      </c>
      <c r="I10" s="48" t="s">
        <v>192</v>
      </c>
      <c r="J10" s="47" t="s">
        <v>58</v>
      </c>
      <c r="K10" s="47" t="s">
        <v>59</v>
      </c>
      <c r="L10" s="47" t="s">
        <v>59</v>
      </c>
      <c r="M10" s="47" t="s">
        <v>60</v>
      </c>
      <c r="N10" s="47" t="s">
        <v>193</v>
      </c>
      <c r="O10" s="49">
        <v>35474</v>
      </c>
      <c r="P10" s="47" t="s">
        <v>194</v>
      </c>
      <c r="Q10" s="47" t="s">
        <v>179</v>
      </c>
      <c r="R10" s="48" t="s">
        <v>195</v>
      </c>
      <c r="S10" s="47" t="s">
        <v>65</v>
      </c>
      <c r="T10" s="47"/>
      <c r="U10" s="47"/>
      <c r="V10" s="47" t="s">
        <v>66</v>
      </c>
      <c r="W10" s="47" t="s">
        <v>67</v>
      </c>
      <c r="X10" s="47" t="s">
        <v>68</v>
      </c>
      <c r="Y10" s="47" t="s">
        <v>152</v>
      </c>
      <c r="Z10" s="47" t="s">
        <v>196</v>
      </c>
      <c r="AA10" s="47"/>
      <c r="AB10" s="47" t="s">
        <v>197</v>
      </c>
      <c r="AC10" s="47" t="s">
        <v>73</v>
      </c>
      <c r="AD10" s="47" t="s">
        <v>74</v>
      </c>
      <c r="AE10" s="49">
        <v>45522</v>
      </c>
      <c r="AF10" s="47" t="s">
        <v>75</v>
      </c>
      <c r="AG10" s="47"/>
      <c r="AH10" s="47" t="s">
        <v>2277</v>
      </c>
      <c r="AI10" s="47" t="s">
        <v>76</v>
      </c>
      <c r="AJ10" s="47" t="s">
        <v>198</v>
      </c>
      <c r="AK10" s="47" t="s">
        <v>59</v>
      </c>
      <c r="AL10" s="47" t="s">
        <v>59</v>
      </c>
      <c r="AM10" s="47" t="s">
        <v>99</v>
      </c>
      <c r="AN10" s="47" t="s">
        <v>80</v>
      </c>
      <c r="AO10" s="47"/>
      <c r="AP10" s="47"/>
      <c r="AQ10" s="47" t="s">
        <v>81</v>
      </c>
      <c r="AR10" s="47"/>
      <c r="AS10" s="47" t="s">
        <v>173</v>
      </c>
      <c r="AT10" s="47" t="s">
        <v>76</v>
      </c>
      <c r="AU10" s="47" t="s">
        <v>83</v>
      </c>
      <c r="AV10" s="47" t="s">
        <v>199</v>
      </c>
      <c r="AW10" s="47" t="s">
        <v>200</v>
      </c>
      <c r="AX10" s="47" t="s">
        <v>100</v>
      </c>
      <c r="AY10" s="49">
        <v>44138</v>
      </c>
      <c r="AZ10" s="47" t="s">
        <v>80</v>
      </c>
      <c r="BA10" s="47"/>
      <c r="BB10" s="47" t="s">
        <v>2359</v>
      </c>
      <c r="BC10" s="47" t="s">
        <v>2542</v>
      </c>
      <c r="BD10" s="47">
        <v>523173918</v>
      </c>
      <c r="BE10" s="50">
        <v>2897</v>
      </c>
      <c r="BF10" s="53">
        <v>943000</v>
      </c>
    </row>
    <row r="11" spans="1:58" s="51" customFormat="1" ht="23.4" hidden="1" x14ac:dyDescent="0.25">
      <c r="A11" s="46">
        <v>10</v>
      </c>
      <c r="B11" s="47">
        <v>878</v>
      </c>
      <c r="C11" s="47"/>
      <c r="D11" s="47" t="s">
        <v>201</v>
      </c>
      <c r="E11" s="47" t="s">
        <v>202</v>
      </c>
      <c r="F11" s="47" t="s">
        <v>203</v>
      </c>
      <c r="G11" s="47" t="str">
        <f>CONCATENATE(TRIM(الجدول2[[#This Row],[الاسم الأول]])," ",TRIM(الجدول2[[#This Row],[اسم الأب]])," ",TRIM(الجدول2[[#This Row],[الكنية]]))</f>
        <v>انتصار اخرس نجلا</v>
      </c>
      <c r="H11" s="47" t="s">
        <v>204</v>
      </c>
      <c r="I11" s="48" t="s">
        <v>205</v>
      </c>
      <c r="J11" s="47" t="s">
        <v>58</v>
      </c>
      <c r="K11" s="47" t="s">
        <v>59</v>
      </c>
      <c r="L11" s="47" t="s">
        <v>59</v>
      </c>
      <c r="M11" s="47" t="s">
        <v>206</v>
      </c>
      <c r="N11" s="47" t="s">
        <v>207</v>
      </c>
      <c r="O11" s="49">
        <v>27719</v>
      </c>
      <c r="P11" s="47" t="s">
        <v>208</v>
      </c>
      <c r="Q11" s="47" t="s">
        <v>179</v>
      </c>
      <c r="R11" s="48" t="s">
        <v>209</v>
      </c>
      <c r="S11" s="47" t="s">
        <v>109</v>
      </c>
      <c r="T11" s="47"/>
      <c r="U11" s="47">
        <v>2</v>
      </c>
      <c r="V11" s="47" t="s">
        <v>66</v>
      </c>
      <c r="W11" s="47" t="s">
        <v>67</v>
      </c>
      <c r="X11" s="47" t="s">
        <v>68</v>
      </c>
      <c r="Y11" s="47" t="s">
        <v>210</v>
      </c>
      <c r="Z11" s="47" t="s">
        <v>211</v>
      </c>
      <c r="AA11" s="47"/>
      <c r="AB11" s="47" t="s">
        <v>212</v>
      </c>
      <c r="AC11" s="47" t="s">
        <v>73</v>
      </c>
      <c r="AD11" s="47" t="s">
        <v>74</v>
      </c>
      <c r="AE11" s="49">
        <v>43905</v>
      </c>
      <c r="AF11" s="47" t="s">
        <v>123</v>
      </c>
      <c r="AG11" s="47"/>
      <c r="AH11" s="47" t="s">
        <v>140</v>
      </c>
      <c r="AI11" s="47" t="s">
        <v>143</v>
      </c>
      <c r="AJ11" s="47"/>
      <c r="AK11" s="47" t="s">
        <v>59</v>
      </c>
      <c r="AL11" s="47" t="s">
        <v>59</v>
      </c>
      <c r="AM11" s="47" t="s">
        <v>99</v>
      </c>
      <c r="AN11" s="47" t="s">
        <v>83</v>
      </c>
      <c r="AO11" s="47" t="s">
        <v>213</v>
      </c>
      <c r="AP11" s="47" t="s">
        <v>214</v>
      </c>
      <c r="AQ11" s="47" t="s">
        <v>81</v>
      </c>
      <c r="AR11" s="47"/>
      <c r="AS11" s="47" t="s">
        <v>82</v>
      </c>
      <c r="AT11" s="47" t="s">
        <v>143</v>
      </c>
      <c r="AU11" s="47" t="s">
        <v>83</v>
      </c>
      <c r="AV11" s="47"/>
      <c r="AW11" s="47"/>
      <c r="AX11" s="47"/>
      <c r="AY11" s="49">
        <v>33078</v>
      </c>
      <c r="AZ11" s="47" t="s">
        <v>80</v>
      </c>
      <c r="BA11" s="47"/>
      <c r="BB11" s="47" t="s">
        <v>2359</v>
      </c>
      <c r="BC11" s="47" t="s">
        <v>2542</v>
      </c>
      <c r="BD11" s="47">
        <v>523952423</v>
      </c>
      <c r="BE11" s="50">
        <v>4800</v>
      </c>
      <c r="BF11" s="53">
        <v>994128</v>
      </c>
    </row>
    <row r="12" spans="1:58" s="51" customFormat="1" ht="23.4" hidden="1" x14ac:dyDescent="0.25">
      <c r="A12" s="46">
        <v>11</v>
      </c>
      <c r="B12" s="47">
        <v>875</v>
      </c>
      <c r="C12" s="47"/>
      <c r="D12" s="47" t="s">
        <v>201</v>
      </c>
      <c r="E12" s="47" t="s">
        <v>215</v>
      </c>
      <c r="F12" s="47" t="s">
        <v>216</v>
      </c>
      <c r="G12" s="47" t="str">
        <f>CONCATENATE(TRIM(الجدول2[[#This Row],[الاسم الأول]])," ",TRIM(الجدول2[[#This Row],[اسم الأب]])," ",TRIM(الجدول2[[#This Row],[الكنية]]))</f>
        <v>انتصار عوض الظروف</v>
      </c>
      <c r="H12" s="47" t="s">
        <v>217</v>
      </c>
      <c r="I12" s="48" t="s">
        <v>218</v>
      </c>
      <c r="J12" s="47" t="s">
        <v>58</v>
      </c>
      <c r="K12" s="47" t="s">
        <v>59</v>
      </c>
      <c r="L12" s="47" t="s">
        <v>59</v>
      </c>
      <c r="M12" s="47" t="s">
        <v>60</v>
      </c>
      <c r="N12" s="47" t="s">
        <v>59</v>
      </c>
      <c r="O12" s="49">
        <v>30051</v>
      </c>
      <c r="P12" s="47" t="s">
        <v>219</v>
      </c>
      <c r="Q12" s="47" t="s">
        <v>179</v>
      </c>
      <c r="R12" s="48" t="s">
        <v>220</v>
      </c>
      <c r="S12" s="47" t="s">
        <v>109</v>
      </c>
      <c r="T12" s="47"/>
      <c r="U12" s="47">
        <v>3</v>
      </c>
      <c r="V12" s="47" t="s">
        <v>66</v>
      </c>
      <c r="W12" s="47" t="s">
        <v>67</v>
      </c>
      <c r="X12" s="47" t="s">
        <v>68</v>
      </c>
      <c r="Y12" s="47" t="s">
        <v>94</v>
      </c>
      <c r="Z12" s="47" t="s">
        <v>221</v>
      </c>
      <c r="AA12" s="47" t="s">
        <v>222</v>
      </c>
      <c r="AB12" s="47" t="s">
        <v>223</v>
      </c>
      <c r="AC12" s="47" t="s">
        <v>155</v>
      </c>
      <c r="AD12" s="47" t="s">
        <v>74</v>
      </c>
      <c r="AE12" s="49">
        <v>43905</v>
      </c>
      <c r="AF12" s="47" t="s">
        <v>123</v>
      </c>
      <c r="AG12" s="47"/>
      <c r="AH12" s="47" t="s">
        <v>157</v>
      </c>
      <c r="AI12" s="47" t="s">
        <v>143</v>
      </c>
      <c r="AJ12" s="47"/>
      <c r="AK12" s="47" t="s">
        <v>59</v>
      </c>
      <c r="AL12" s="47" t="s">
        <v>59</v>
      </c>
      <c r="AM12" s="47" t="s">
        <v>99</v>
      </c>
      <c r="AN12" s="47" t="s">
        <v>80</v>
      </c>
      <c r="AO12" s="47"/>
      <c r="AP12" s="47"/>
      <c r="AQ12" s="47" t="s">
        <v>81</v>
      </c>
      <c r="AR12" s="47"/>
      <c r="AS12" s="47" t="s">
        <v>173</v>
      </c>
      <c r="AT12" s="47" t="s">
        <v>182</v>
      </c>
      <c r="AU12" s="47" t="s">
        <v>83</v>
      </c>
      <c r="AV12" s="47" t="s">
        <v>59</v>
      </c>
      <c r="AW12" s="47" t="s">
        <v>224</v>
      </c>
      <c r="AX12" s="47" t="s">
        <v>225</v>
      </c>
      <c r="AY12" s="49">
        <v>35256</v>
      </c>
      <c r="AZ12" s="47" t="s">
        <v>80</v>
      </c>
      <c r="BA12" s="47"/>
      <c r="BB12" s="47" t="s">
        <v>2359</v>
      </c>
      <c r="BC12" s="47" t="s">
        <v>2542</v>
      </c>
      <c r="BD12" s="47">
        <v>524057958</v>
      </c>
      <c r="BE12" s="50">
        <v>5736</v>
      </c>
      <c r="BF12" s="53">
        <v>1001181</v>
      </c>
    </row>
    <row r="13" spans="1:58" s="51" customFormat="1" ht="23.4" hidden="1" x14ac:dyDescent="0.25">
      <c r="A13" s="46">
        <v>12</v>
      </c>
      <c r="B13" s="47">
        <v>883</v>
      </c>
      <c r="C13" s="47">
        <v>1634554</v>
      </c>
      <c r="D13" s="47" t="s">
        <v>226</v>
      </c>
      <c r="E13" s="47" t="s">
        <v>227</v>
      </c>
      <c r="F13" s="47" t="s">
        <v>228</v>
      </c>
      <c r="G13" s="47" t="str">
        <f>CONCATENATE(TRIM(الجدول2[[#This Row],[الاسم الأول]])," ",TRIM(الجدول2[[#This Row],[اسم الأب]])," ",TRIM(الجدول2[[#This Row],[الكنية]]))</f>
        <v>انس حكمت محمود</v>
      </c>
      <c r="H13" s="47" t="s">
        <v>229</v>
      </c>
      <c r="I13" s="48" t="s">
        <v>230</v>
      </c>
      <c r="J13" s="47" t="s">
        <v>58</v>
      </c>
      <c r="K13" s="47" t="s">
        <v>59</v>
      </c>
      <c r="L13" s="47" t="s">
        <v>59</v>
      </c>
      <c r="M13" s="47" t="s">
        <v>60</v>
      </c>
      <c r="N13" s="47" t="s">
        <v>59</v>
      </c>
      <c r="O13" s="49">
        <v>34713</v>
      </c>
      <c r="P13" s="47" t="s">
        <v>231</v>
      </c>
      <c r="Q13" s="47" t="s">
        <v>63</v>
      </c>
      <c r="R13" s="48" t="s">
        <v>232</v>
      </c>
      <c r="S13" s="47" t="s">
        <v>65</v>
      </c>
      <c r="T13" s="47"/>
      <c r="U13" s="47"/>
      <c r="V13" s="47" t="s">
        <v>66</v>
      </c>
      <c r="W13" s="47" t="s">
        <v>67</v>
      </c>
      <c r="X13" s="47" t="s">
        <v>68</v>
      </c>
      <c r="Y13" s="47" t="s">
        <v>233</v>
      </c>
      <c r="Z13" s="47" t="s">
        <v>234</v>
      </c>
      <c r="AA13" s="47"/>
      <c r="AB13" s="47" t="s">
        <v>72</v>
      </c>
      <c r="AC13" s="47" t="s">
        <v>73</v>
      </c>
      <c r="AD13" s="47" t="s">
        <v>74</v>
      </c>
      <c r="AE13" s="49">
        <v>45494</v>
      </c>
      <c r="AF13" s="47" t="s">
        <v>75</v>
      </c>
      <c r="AG13" s="47"/>
      <c r="AH13" s="47" t="s">
        <v>2277</v>
      </c>
      <c r="AI13" s="47" t="s">
        <v>76</v>
      </c>
      <c r="AJ13" s="47" t="s">
        <v>235</v>
      </c>
      <c r="AK13" s="47" t="s">
        <v>59</v>
      </c>
      <c r="AL13" s="47" t="s">
        <v>59</v>
      </c>
      <c r="AM13" s="47" t="s">
        <v>99</v>
      </c>
      <c r="AN13" s="47" t="s">
        <v>80</v>
      </c>
      <c r="AO13" s="47"/>
      <c r="AP13" s="47"/>
      <c r="AQ13" s="47" t="s">
        <v>81</v>
      </c>
      <c r="AR13" s="47"/>
      <c r="AS13" s="47" t="s">
        <v>236</v>
      </c>
      <c r="AT13" s="47" t="s">
        <v>76</v>
      </c>
      <c r="AU13" s="47" t="s">
        <v>83</v>
      </c>
      <c r="AV13" s="47" t="s">
        <v>184</v>
      </c>
      <c r="AW13" s="47" t="s">
        <v>237</v>
      </c>
      <c r="AX13" s="47" t="s">
        <v>237</v>
      </c>
      <c r="AY13" s="49">
        <v>44117</v>
      </c>
      <c r="AZ13" s="47" t="s">
        <v>80</v>
      </c>
      <c r="BA13" s="47"/>
      <c r="BB13" s="47" t="s">
        <v>2359</v>
      </c>
      <c r="BC13" s="47" t="s">
        <v>2542</v>
      </c>
      <c r="BD13" s="47">
        <v>523968947</v>
      </c>
      <c r="BE13" s="50">
        <v>4949</v>
      </c>
      <c r="BF13" s="53">
        <v>943000</v>
      </c>
    </row>
    <row r="14" spans="1:58" s="51" customFormat="1" ht="23.4" hidden="1" x14ac:dyDescent="0.25">
      <c r="A14" s="46">
        <v>13</v>
      </c>
      <c r="B14" s="47">
        <v>930</v>
      </c>
      <c r="C14" s="47">
        <v>1639558</v>
      </c>
      <c r="D14" s="47" t="s">
        <v>238</v>
      </c>
      <c r="E14" s="47" t="s">
        <v>131</v>
      </c>
      <c r="F14" s="47" t="s">
        <v>239</v>
      </c>
      <c r="G14" s="47" t="str">
        <f>CONCATENATE(TRIM(الجدول2[[#This Row],[الاسم الأول]])," ",TRIM(الجدول2[[#This Row],[اسم الأب]])," ",TRIM(الجدول2[[#This Row],[الكنية]]))</f>
        <v>اياد علي حبيب</v>
      </c>
      <c r="H14" s="47" t="s">
        <v>240</v>
      </c>
      <c r="I14" s="48" t="s">
        <v>241</v>
      </c>
      <c r="J14" s="47" t="s">
        <v>58</v>
      </c>
      <c r="K14" s="47" t="s">
        <v>59</v>
      </c>
      <c r="L14" s="47" t="s">
        <v>141</v>
      </c>
      <c r="M14" s="47" t="s">
        <v>242</v>
      </c>
      <c r="N14" s="47" t="s">
        <v>243</v>
      </c>
      <c r="O14" s="49">
        <v>30594</v>
      </c>
      <c r="P14" s="47" t="s">
        <v>244</v>
      </c>
      <c r="Q14" s="47" t="s">
        <v>63</v>
      </c>
      <c r="R14" s="48" t="s">
        <v>245</v>
      </c>
      <c r="S14" s="47" t="s">
        <v>109</v>
      </c>
      <c r="T14" s="47">
        <v>1</v>
      </c>
      <c r="U14" s="47">
        <v>2</v>
      </c>
      <c r="V14" s="47" t="s">
        <v>66</v>
      </c>
      <c r="W14" s="47" t="s">
        <v>67</v>
      </c>
      <c r="X14" s="47" t="s">
        <v>68</v>
      </c>
      <c r="Y14" s="47" t="s">
        <v>246</v>
      </c>
      <c r="Z14" s="47" t="s">
        <v>247</v>
      </c>
      <c r="AA14" s="47" t="s">
        <v>248</v>
      </c>
      <c r="AB14" s="47" t="s">
        <v>249</v>
      </c>
      <c r="AC14" s="47" t="s">
        <v>155</v>
      </c>
      <c r="AD14" s="47" t="s">
        <v>74</v>
      </c>
      <c r="AE14" s="49">
        <v>45077</v>
      </c>
      <c r="AF14" s="47" t="s">
        <v>156</v>
      </c>
      <c r="AG14" s="47"/>
      <c r="AH14" s="47" t="s">
        <v>157</v>
      </c>
      <c r="AI14" s="47" t="s">
        <v>250</v>
      </c>
      <c r="AJ14" s="47"/>
      <c r="AK14" s="47" t="s">
        <v>59</v>
      </c>
      <c r="AL14" s="47" t="s">
        <v>141</v>
      </c>
      <c r="AM14" s="47" t="s">
        <v>99</v>
      </c>
      <c r="AN14" s="47" t="s">
        <v>80</v>
      </c>
      <c r="AO14" s="47"/>
      <c r="AP14" s="47"/>
      <c r="AQ14" s="47" t="s">
        <v>81</v>
      </c>
      <c r="AR14" s="47"/>
      <c r="AS14" s="47" t="s">
        <v>173</v>
      </c>
      <c r="AT14" s="47" t="s">
        <v>250</v>
      </c>
      <c r="AU14" s="47"/>
      <c r="AV14" s="47"/>
      <c r="AW14" s="47"/>
      <c r="AX14" s="47"/>
      <c r="AY14" s="49"/>
      <c r="AZ14" s="47" t="s">
        <v>80</v>
      </c>
      <c r="BA14" s="47"/>
      <c r="BB14" s="47" t="s">
        <v>2359</v>
      </c>
      <c r="BC14" s="47" t="s">
        <v>2542</v>
      </c>
      <c r="BD14" s="47">
        <v>526581613</v>
      </c>
      <c r="BE14" s="50">
        <v>13691</v>
      </c>
      <c r="BF14" s="53">
        <v>918870</v>
      </c>
    </row>
    <row r="15" spans="1:58" s="51" customFormat="1" ht="23.4" hidden="1" x14ac:dyDescent="0.25">
      <c r="A15" s="46">
        <v>14</v>
      </c>
      <c r="B15" s="47">
        <v>957</v>
      </c>
      <c r="C15" s="47">
        <v>1634546</v>
      </c>
      <c r="D15" s="47" t="s">
        <v>251</v>
      </c>
      <c r="E15" s="47" t="s">
        <v>252</v>
      </c>
      <c r="F15" s="47" t="s">
        <v>253</v>
      </c>
      <c r="G15" s="47" t="str">
        <f>CONCATENATE(TRIM(الجدول2[[#This Row],[الاسم الأول]])," ",TRIM(الجدول2[[#This Row],[اسم الأب]])," ",TRIM(الجدول2[[#This Row],[الكنية]]))</f>
        <v>اية امين دلول</v>
      </c>
      <c r="H15" s="47" t="s">
        <v>254</v>
      </c>
      <c r="I15" s="48" t="s">
        <v>255</v>
      </c>
      <c r="J15" s="47" t="s">
        <v>58</v>
      </c>
      <c r="K15" s="47" t="s">
        <v>59</v>
      </c>
      <c r="L15" s="47" t="s">
        <v>59</v>
      </c>
      <c r="M15" s="47" t="s">
        <v>60</v>
      </c>
      <c r="N15" s="47" t="s">
        <v>59</v>
      </c>
      <c r="O15" s="49">
        <v>35707</v>
      </c>
      <c r="P15" s="47" t="s">
        <v>256</v>
      </c>
      <c r="Q15" s="47" t="s">
        <v>179</v>
      </c>
      <c r="R15" s="48" t="s">
        <v>257</v>
      </c>
      <c r="S15" s="47" t="s">
        <v>65</v>
      </c>
      <c r="T15" s="47"/>
      <c r="U15" s="47"/>
      <c r="V15" s="47" t="s">
        <v>66</v>
      </c>
      <c r="W15" s="47" t="s">
        <v>67</v>
      </c>
      <c r="X15" s="47" t="s">
        <v>68</v>
      </c>
      <c r="Y15" s="47" t="s">
        <v>69</v>
      </c>
      <c r="Z15" s="47" t="s">
        <v>258</v>
      </c>
      <c r="AA15" s="47" t="s">
        <v>259</v>
      </c>
      <c r="AB15" s="47" t="s">
        <v>72</v>
      </c>
      <c r="AC15" s="47" t="s">
        <v>73</v>
      </c>
      <c r="AD15" s="47" t="s">
        <v>74</v>
      </c>
      <c r="AE15" s="49">
        <v>45525</v>
      </c>
      <c r="AF15" s="47" t="s">
        <v>75</v>
      </c>
      <c r="AG15" s="47"/>
      <c r="AH15" s="47" t="s">
        <v>2277</v>
      </c>
      <c r="AI15" s="47" t="s">
        <v>76</v>
      </c>
      <c r="AJ15" s="47" t="s">
        <v>77</v>
      </c>
      <c r="AK15" s="47" t="s">
        <v>59</v>
      </c>
      <c r="AL15" s="47" t="s">
        <v>59</v>
      </c>
      <c r="AM15" s="47" t="s">
        <v>99</v>
      </c>
      <c r="AN15" s="47" t="s">
        <v>80</v>
      </c>
      <c r="AO15" s="47"/>
      <c r="AP15" s="47"/>
      <c r="AQ15" s="47" t="s">
        <v>81</v>
      </c>
      <c r="AR15" s="47"/>
      <c r="AS15" s="47" t="s">
        <v>173</v>
      </c>
      <c r="AT15" s="47" t="s">
        <v>76</v>
      </c>
      <c r="AU15" s="47" t="s">
        <v>83</v>
      </c>
      <c r="AV15" s="47" t="s">
        <v>84</v>
      </c>
      <c r="AW15" s="47" t="s">
        <v>77</v>
      </c>
      <c r="AX15" s="47" t="s">
        <v>260</v>
      </c>
      <c r="AY15" s="49">
        <v>44307</v>
      </c>
      <c r="AZ15" s="47" t="s">
        <v>80</v>
      </c>
      <c r="BA15" s="47"/>
      <c r="BB15" s="47" t="s">
        <v>2359</v>
      </c>
      <c r="BC15" s="47" t="s">
        <v>2542</v>
      </c>
      <c r="BD15" s="47">
        <v>524096662</v>
      </c>
      <c r="BE15" s="50">
        <v>6070</v>
      </c>
      <c r="BF15" s="53">
        <v>943000</v>
      </c>
    </row>
    <row r="16" spans="1:58" s="51" customFormat="1" ht="23.4" hidden="1" x14ac:dyDescent="0.25">
      <c r="A16" s="46">
        <v>15</v>
      </c>
      <c r="B16" s="47">
        <v>958</v>
      </c>
      <c r="C16" s="47">
        <v>1634574</v>
      </c>
      <c r="D16" s="47" t="s">
        <v>251</v>
      </c>
      <c r="E16" s="47" t="s">
        <v>261</v>
      </c>
      <c r="F16" s="47" t="s">
        <v>262</v>
      </c>
      <c r="G16" s="47" t="str">
        <f>CONCATENATE(TRIM(الجدول2[[#This Row],[الاسم الأول]])," ",TRIM(الجدول2[[#This Row],[اسم الأب]])," ",TRIM(الجدول2[[#This Row],[الكنية]]))</f>
        <v>اية حمد شما</v>
      </c>
      <c r="H16" s="47" t="s">
        <v>263</v>
      </c>
      <c r="I16" s="48" t="s">
        <v>264</v>
      </c>
      <c r="J16" s="47" t="s">
        <v>58</v>
      </c>
      <c r="K16" s="47" t="s">
        <v>59</v>
      </c>
      <c r="L16" s="47" t="s">
        <v>78</v>
      </c>
      <c r="M16" s="47" t="s">
        <v>149</v>
      </c>
      <c r="N16" s="47" t="s">
        <v>150</v>
      </c>
      <c r="O16" s="49">
        <v>35980</v>
      </c>
      <c r="P16" s="47" t="s">
        <v>265</v>
      </c>
      <c r="Q16" s="47" t="s">
        <v>179</v>
      </c>
      <c r="R16" s="48" t="s">
        <v>266</v>
      </c>
      <c r="S16" s="47" t="s">
        <v>65</v>
      </c>
      <c r="T16" s="47"/>
      <c r="U16" s="47"/>
      <c r="V16" s="47" t="s">
        <v>66</v>
      </c>
      <c r="W16" s="47" t="s">
        <v>67</v>
      </c>
      <c r="X16" s="47" t="s">
        <v>68</v>
      </c>
      <c r="Y16" s="47" t="s">
        <v>69</v>
      </c>
      <c r="Z16" s="47" t="s">
        <v>258</v>
      </c>
      <c r="AA16" s="47" t="s">
        <v>267</v>
      </c>
      <c r="AB16" s="47" t="s">
        <v>72</v>
      </c>
      <c r="AC16" s="47" t="s">
        <v>73</v>
      </c>
      <c r="AD16" s="47" t="s">
        <v>74</v>
      </c>
      <c r="AE16" s="49">
        <v>45525</v>
      </c>
      <c r="AF16" s="47" t="s">
        <v>75</v>
      </c>
      <c r="AG16" s="47"/>
      <c r="AH16" s="47" t="s">
        <v>2277</v>
      </c>
      <c r="AI16" s="47" t="s">
        <v>76</v>
      </c>
      <c r="AJ16" s="47" t="s">
        <v>77</v>
      </c>
      <c r="AK16" s="47" t="s">
        <v>59</v>
      </c>
      <c r="AL16" s="47" t="s">
        <v>78</v>
      </c>
      <c r="AM16" s="47" t="s">
        <v>99</v>
      </c>
      <c r="AN16" s="47" t="s">
        <v>80</v>
      </c>
      <c r="AO16" s="47"/>
      <c r="AP16" s="47"/>
      <c r="AQ16" s="47" t="s">
        <v>81</v>
      </c>
      <c r="AR16" s="47"/>
      <c r="AS16" s="47" t="s">
        <v>236</v>
      </c>
      <c r="AT16" s="47" t="s">
        <v>76</v>
      </c>
      <c r="AU16" s="47" t="s">
        <v>83</v>
      </c>
      <c r="AV16" s="47" t="s">
        <v>268</v>
      </c>
      <c r="AW16" s="47" t="s">
        <v>77</v>
      </c>
      <c r="AX16" s="47" t="s">
        <v>269</v>
      </c>
      <c r="AY16" s="49">
        <v>44835</v>
      </c>
      <c r="AZ16" s="47" t="s">
        <v>80</v>
      </c>
      <c r="BA16" s="47"/>
      <c r="BB16" s="47" t="s">
        <v>2359</v>
      </c>
      <c r="BC16" s="47" t="s">
        <v>2542</v>
      </c>
      <c r="BD16" s="47">
        <v>524086357</v>
      </c>
      <c r="BE16" s="50">
        <v>5985</v>
      </c>
      <c r="BF16" s="53">
        <v>943000</v>
      </c>
    </row>
    <row r="17" spans="1:58" s="51" customFormat="1" ht="23.4" hidden="1" x14ac:dyDescent="0.25">
      <c r="A17" s="46">
        <v>16</v>
      </c>
      <c r="B17" s="47">
        <v>964</v>
      </c>
      <c r="C17" s="47">
        <v>1419916</v>
      </c>
      <c r="D17" s="47" t="s">
        <v>270</v>
      </c>
      <c r="E17" s="47" t="s">
        <v>86</v>
      </c>
      <c r="F17" s="47" t="s">
        <v>271</v>
      </c>
      <c r="G17" s="47" t="str">
        <f>CONCATENATE(TRIM(الجدول2[[#This Row],[الاسم الأول]])," ",TRIM(الجدول2[[#This Row],[اسم الأب]])," ",TRIM(الجدول2[[#This Row],[الكنية]]))</f>
        <v>ايفين احمد عبدالله</v>
      </c>
      <c r="H17" s="47" t="s">
        <v>272</v>
      </c>
      <c r="I17" s="48" t="s">
        <v>273</v>
      </c>
      <c r="J17" s="47" t="s">
        <v>58</v>
      </c>
      <c r="K17" s="47" t="s">
        <v>59</v>
      </c>
      <c r="L17" s="47" t="s">
        <v>164</v>
      </c>
      <c r="M17" s="47" t="s">
        <v>165</v>
      </c>
      <c r="N17" s="47" t="s">
        <v>274</v>
      </c>
      <c r="O17" s="49">
        <v>32874</v>
      </c>
      <c r="P17" s="47" t="s">
        <v>275</v>
      </c>
      <c r="Q17" s="47" t="s">
        <v>179</v>
      </c>
      <c r="R17" s="48" t="s">
        <v>276</v>
      </c>
      <c r="S17" s="47" t="s">
        <v>109</v>
      </c>
      <c r="T17" s="47"/>
      <c r="U17" s="47">
        <v>3</v>
      </c>
      <c r="V17" s="47" t="s">
        <v>66</v>
      </c>
      <c r="W17" s="47" t="s">
        <v>67</v>
      </c>
      <c r="X17" s="47" t="s">
        <v>68</v>
      </c>
      <c r="Y17" s="47" t="s">
        <v>137</v>
      </c>
      <c r="Z17" s="47"/>
      <c r="AA17" s="47"/>
      <c r="AB17" s="47" t="s">
        <v>197</v>
      </c>
      <c r="AC17" s="47" t="s">
        <v>73</v>
      </c>
      <c r="AD17" s="47" t="s">
        <v>74</v>
      </c>
      <c r="AE17" s="49">
        <v>41981</v>
      </c>
      <c r="AF17" s="47" t="s">
        <v>75</v>
      </c>
      <c r="AG17" s="47"/>
      <c r="AH17" s="47" t="s">
        <v>2277</v>
      </c>
      <c r="AI17" s="47" t="s">
        <v>76</v>
      </c>
      <c r="AJ17" s="47" t="s">
        <v>277</v>
      </c>
      <c r="AK17" s="47" t="s">
        <v>59</v>
      </c>
      <c r="AL17" s="47" t="s">
        <v>164</v>
      </c>
      <c r="AM17" s="47" t="s">
        <v>99</v>
      </c>
      <c r="AN17" s="47" t="s">
        <v>80</v>
      </c>
      <c r="AO17" s="47"/>
      <c r="AP17" s="47"/>
      <c r="AQ17" s="47" t="s">
        <v>81</v>
      </c>
      <c r="AR17" s="47"/>
      <c r="AS17" s="47" t="s">
        <v>173</v>
      </c>
      <c r="AT17" s="47" t="s">
        <v>76</v>
      </c>
      <c r="AU17" s="47" t="s">
        <v>83</v>
      </c>
      <c r="AV17" s="47" t="s">
        <v>184</v>
      </c>
      <c r="AW17" s="47" t="s">
        <v>278</v>
      </c>
      <c r="AX17" s="47" t="s">
        <v>279</v>
      </c>
      <c r="AY17" s="49">
        <v>41431</v>
      </c>
      <c r="AZ17" s="47" t="s">
        <v>80</v>
      </c>
      <c r="BA17" s="47" t="s">
        <v>280</v>
      </c>
      <c r="BB17" s="47" t="s">
        <v>2358</v>
      </c>
      <c r="BC17" s="47" t="s">
        <v>2542</v>
      </c>
      <c r="BD17" s="47">
        <v>523961740</v>
      </c>
      <c r="BE17" s="50">
        <v>4884</v>
      </c>
      <c r="BF17" s="53">
        <v>1292226</v>
      </c>
    </row>
    <row r="18" spans="1:58" s="51" customFormat="1" ht="23.4" hidden="1" x14ac:dyDescent="0.25">
      <c r="A18" s="46">
        <v>17</v>
      </c>
      <c r="B18" s="47">
        <v>970</v>
      </c>
      <c r="C18" s="47">
        <v>1408949</v>
      </c>
      <c r="D18" s="47" t="s">
        <v>281</v>
      </c>
      <c r="E18" s="47" t="s">
        <v>282</v>
      </c>
      <c r="F18" s="47" t="s">
        <v>53</v>
      </c>
      <c r="G18" s="47" t="str">
        <f>CONCATENATE(TRIM(الجدول2[[#This Row],[الاسم الأول]])," ",TRIM(الجدول2[[#This Row],[اسم الأب]])," ",TRIM(الجدول2[[#This Row],[الكنية]]))</f>
        <v>ايمان بديع ابراهيم</v>
      </c>
      <c r="H18" s="47" t="s">
        <v>283</v>
      </c>
      <c r="I18" s="48" t="s">
        <v>284</v>
      </c>
      <c r="J18" s="47" t="s">
        <v>58</v>
      </c>
      <c r="K18" s="47" t="s">
        <v>59</v>
      </c>
      <c r="L18" s="47" t="s">
        <v>164</v>
      </c>
      <c r="M18" s="47" t="s">
        <v>165</v>
      </c>
      <c r="N18" s="47" t="s">
        <v>285</v>
      </c>
      <c r="O18" s="49">
        <v>29184</v>
      </c>
      <c r="P18" s="47" t="s">
        <v>286</v>
      </c>
      <c r="Q18" s="47" t="s">
        <v>179</v>
      </c>
      <c r="R18" s="48" t="s">
        <v>287</v>
      </c>
      <c r="S18" s="47" t="s">
        <v>109</v>
      </c>
      <c r="T18" s="47"/>
      <c r="U18" s="47">
        <v>3</v>
      </c>
      <c r="V18" s="47" t="s">
        <v>66</v>
      </c>
      <c r="W18" s="47" t="s">
        <v>67</v>
      </c>
      <c r="X18" s="47" t="s">
        <v>68</v>
      </c>
      <c r="Y18" s="47" t="s">
        <v>169</v>
      </c>
      <c r="Z18" s="47" t="s">
        <v>288</v>
      </c>
      <c r="AA18" s="47"/>
      <c r="AB18" s="47" t="s">
        <v>289</v>
      </c>
      <c r="AC18" s="47" t="s">
        <v>73</v>
      </c>
      <c r="AD18" s="47" t="s">
        <v>74</v>
      </c>
      <c r="AE18" s="49">
        <v>42137</v>
      </c>
      <c r="AF18" s="47" t="s">
        <v>290</v>
      </c>
      <c r="AG18" s="47"/>
      <c r="AH18" s="47" t="s">
        <v>2277</v>
      </c>
      <c r="AI18" s="47" t="s">
        <v>291</v>
      </c>
      <c r="AJ18" s="47" t="s">
        <v>292</v>
      </c>
      <c r="AK18" s="47" t="s">
        <v>59</v>
      </c>
      <c r="AL18" s="47" t="s">
        <v>164</v>
      </c>
      <c r="AM18" s="47" t="s">
        <v>99</v>
      </c>
      <c r="AN18" s="47" t="s">
        <v>80</v>
      </c>
      <c r="AO18" s="47"/>
      <c r="AP18" s="47"/>
      <c r="AQ18" s="47" t="s">
        <v>81</v>
      </c>
      <c r="AR18" s="47"/>
      <c r="AS18" s="47" t="s">
        <v>173</v>
      </c>
      <c r="AT18" s="47" t="s">
        <v>291</v>
      </c>
      <c r="AU18" s="47" t="s">
        <v>83</v>
      </c>
      <c r="AV18" s="47" t="s">
        <v>184</v>
      </c>
      <c r="AW18" s="47" t="s">
        <v>293</v>
      </c>
      <c r="AX18" s="47" t="s">
        <v>294</v>
      </c>
      <c r="AY18" s="49">
        <v>38191</v>
      </c>
      <c r="AZ18" s="47" t="s">
        <v>83</v>
      </c>
      <c r="BA18" s="47"/>
      <c r="BB18" s="47" t="s">
        <v>2359</v>
      </c>
      <c r="BC18" s="47" t="s">
        <v>2542</v>
      </c>
      <c r="BD18" s="47">
        <v>523159089</v>
      </c>
      <c r="BE18" s="50">
        <v>2782</v>
      </c>
      <c r="BF18" s="53">
        <v>1316292</v>
      </c>
    </row>
    <row r="19" spans="1:58" s="51" customFormat="1" ht="23.4" hidden="1" x14ac:dyDescent="0.25">
      <c r="A19" s="46">
        <v>18</v>
      </c>
      <c r="B19" s="47">
        <v>999</v>
      </c>
      <c r="C19" s="47">
        <v>1564022</v>
      </c>
      <c r="D19" s="47" t="s">
        <v>295</v>
      </c>
      <c r="E19" s="47" t="s">
        <v>53</v>
      </c>
      <c r="F19" s="47" t="s">
        <v>116</v>
      </c>
      <c r="G19" s="47" t="str">
        <f>CONCATENATE(TRIM(الجدول2[[#This Row],[الاسم الأول]])," ",TRIM(الجدول2[[#This Row],[اسم الأب]])," ",TRIM(الجدول2[[#This Row],[الكنية]]))</f>
        <v>ايمن ابراهيم يوسف</v>
      </c>
      <c r="H19" s="47" t="s">
        <v>296</v>
      </c>
      <c r="I19" s="48" t="s">
        <v>297</v>
      </c>
      <c r="J19" s="47" t="s">
        <v>58</v>
      </c>
      <c r="K19" s="47" t="s">
        <v>59</v>
      </c>
      <c r="L19" s="47" t="s">
        <v>90</v>
      </c>
      <c r="M19" s="47" t="s">
        <v>298</v>
      </c>
      <c r="N19" s="47" t="s">
        <v>299</v>
      </c>
      <c r="O19" s="49">
        <v>32626</v>
      </c>
      <c r="P19" s="47" t="s">
        <v>300</v>
      </c>
      <c r="Q19" s="47" t="s">
        <v>63</v>
      </c>
      <c r="R19" s="48" t="s">
        <v>301</v>
      </c>
      <c r="S19" s="47" t="s">
        <v>65</v>
      </c>
      <c r="T19" s="47"/>
      <c r="U19" s="47"/>
      <c r="V19" s="47" t="s">
        <v>66</v>
      </c>
      <c r="W19" s="47" t="s">
        <v>67</v>
      </c>
      <c r="X19" s="47" t="s">
        <v>68</v>
      </c>
      <c r="Y19" s="47" t="s">
        <v>94</v>
      </c>
      <c r="Z19" s="47" t="s">
        <v>221</v>
      </c>
      <c r="AA19" s="47" t="s">
        <v>302</v>
      </c>
      <c r="AB19" s="47" t="s">
        <v>223</v>
      </c>
      <c r="AC19" s="47" t="s">
        <v>155</v>
      </c>
      <c r="AD19" s="47" t="s">
        <v>74</v>
      </c>
      <c r="AE19" s="49">
        <v>44054</v>
      </c>
      <c r="AF19" s="47" t="s">
        <v>123</v>
      </c>
      <c r="AG19" s="47"/>
      <c r="AH19" s="47" t="s">
        <v>157</v>
      </c>
      <c r="AI19" s="47" t="s">
        <v>143</v>
      </c>
      <c r="AJ19" s="47"/>
      <c r="AK19" s="47" t="s">
        <v>59</v>
      </c>
      <c r="AL19" s="47" t="s">
        <v>59</v>
      </c>
      <c r="AM19" s="47" t="s">
        <v>99</v>
      </c>
      <c r="AN19" s="47" t="s">
        <v>80</v>
      </c>
      <c r="AO19" s="47"/>
      <c r="AP19" s="47"/>
      <c r="AQ19" s="47" t="s">
        <v>81</v>
      </c>
      <c r="AR19" s="47"/>
      <c r="AS19" s="47" t="s">
        <v>173</v>
      </c>
      <c r="AT19" s="47" t="s">
        <v>143</v>
      </c>
      <c r="AU19" s="47" t="s">
        <v>83</v>
      </c>
      <c r="AV19" s="47"/>
      <c r="AW19" s="47"/>
      <c r="AX19" s="47"/>
      <c r="AY19" s="49">
        <v>38192</v>
      </c>
      <c r="AZ19" s="47" t="s">
        <v>80</v>
      </c>
      <c r="BA19" s="47"/>
      <c r="BB19" s="47" t="s">
        <v>2359</v>
      </c>
      <c r="BC19" s="47" t="s">
        <v>2542</v>
      </c>
      <c r="BD19" s="47">
        <v>524102105</v>
      </c>
      <c r="BE19" s="50">
        <v>6105</v>
      </c>
      <c r="BF19" s="53">
        <v>1001241</v>
      </c>
    </row>
    <row r="20" spans="1:58" s="51" customFormat="1" ht="23.4" hidden="1" x14ac:dyDescent="0.25">
      <c r="A20" s="46">
        <v>19</v>
      </c>
      <c r="B20" s="47">
        <v>1091</v>
      </c>
      <c r="C20" s="47"/>
      <c r="D20" s="47" t="s">
        <v>303</v>
      </c>
      <c r="E20" s="47" t="s">
        <v>131</v>
      </c>
      <c r="F20" s="47" t="s">
        <v>304</v>
      </c>
      <c r="G20" s="47" t="str">
        <f>CONCATENATE(TRIM(الجدول2[[#This Row],[الاسم الأول]])," ",TRIM(الجدول2[[#This Row],[اسم الأب]])," ",TRIM(الجدول2[[#This Row],[الكنية]]))</f>
        <v>إماس علي فريد</v>
      </c>
      <c r="H20" s="47" t="s">
        <v>305</v>
      </c>
      <c r="I20" s="48" t="s">
        <v>306</v>
      </c>
      <c r="J20" s="47" t="s">
        <v>58</v>
      </c>
      <c r="K20" s="47" t="s">
        <v>59</v>
      </c>
      <c r="L20" s="47" t="s">
        <v>141</v>
      </c>
      <c r="M20" s="47" t="s">
        <v>307</v>
      </c>
      <c r="N20" s="47" t="s">
        <v>308</v>
      </c>
      <c r="O20" s="49">
        <v>32464</v>
      </c>
      <c r="P20" s="47" t="s">
        <v>59</v>
      </c>
      <c r="Q20" s="47" t="s">
        <v>179</v>
      </c>
      <c r="R20" s="48" t="s">
        <v>309</v>
      </c>
      <c r="S20" s="47" t="s">
        <v>109</v>
      </c>
      <c r="T20" s="47"/>
      <c r="U20" s="47">
        <v>3</v>
      </c>
      <c r="V20" s="47" t="s">
        <v>66</v>
      </c>
      <c r="W20" s="47" t="s">
        <v>67</v>
      </c>
      <c r="X20" s="47" t="s">
        <v>68</v>
      </c>
      <c r="Y20" s="47" t="s">
        <v>137</v>
      </c>
      <c r="Z20" s="47"/>
      <c r="AA20" s="47"/>
      <c r="AB20" s="47" t="s">
        <v>181</v>
      </c>
      <c r="AC20" s="47" t="s">
        <v>73</v>
      </c>
      <c r="AD20" s="47" t="s">
        <v>74</v>
      </c>
      <c r="AE20" s="49">
        <v>40862</v>
      </c>
      <c r="AF20" s="47" t="s">
        <v>123</v>
      </c>
      <c r="AG20" s="47"/>
      <c r="AH20" s="47" t="s">
        <v>124</v>
      </c>
      <c r="AI20" s="47" t="s">
        <v>182</v>
      </c>
      <c r="AJ20" s="47" t="s">
        <v>310</v>
      </c>
      <c r="AK20" s="47" t="s">
        <v>59</v>
      </c>
      <c r="AL20" s="47" t="s">
        <v>141</v>
      </c>
      <c r="AM20" s="47" t="s">
        <v>99</v>
      </c>
      <c r="AN20" s="47" t="s">
        <v>80</v>
      </c>
      <c r="AO20" s="47"/>
      <c r="AP20" s="47"/>
      <c r="AQ20" s="47" t="s">
        <v>81</v>
      </c>
      <c r="AR20" s="47"/>
      <c r="AS20" s="47" t="s">
        <v>82</v>
      </c>
      <c r="AT20" s="47" t="s">
        <v>182</v>
      </c>
      <c r="AU20" s="47" t="s">
        <v>83</v>
      </c>
      <c r="AV20" s="47" t="s">
        <v>199</v>
      </c>
      <c r="AW20" s="47" t="s">
        <v>185</v>
      </c>
      <c r="AX20" s="47" t="s">
        <v>311</v>
      </c>
      <c r="AY20" s="49">
        <v>39741</v>
      </c>
      <c r="AZ20" s="47" t="s">
        <v>80</v>
      </c>
      <c r="BA20" s="47" t="s">
        <v>312</v>
      </c>
      <c r="BB20" s="47" t="s">
        <v>2358</v>
      </c>
      <c r="BC20" s="47" t="s">
        <v>2542</v>
      </c>
      <c r="BD20" s="47">
        <v>528008932</v>
      </c>
      <c r="BE20" s="50">
        <v>21509</v>
      </c>
      <c r="BF20" s="53">
        <v>1243000</v>
      </c>
    </row>
    <row r="21" spans="1:58" s="51" customFormat="1" ht="23.4" hidden="1" x14ac:dyDescent="0.25">
      <c r="A21" s="46">
        <v>20</v>
      </c>
      <c r="B21" s="47">
        <v>1330</v>
      </c>
      <c r="C21" s="47"/>
      <c r="D21" s="47" t="s">
        <v>313</v>
      </c>
      <c r="E21" s="47" t="s">
        <v>131</v>
      </c>
      <c r="F21" s="47" t="s">
        <v>53</v>
      </c>
      <c r="G21" s="47" t="str">
        <f>CONCATENATE(TRIM(الجدول2[[#This Row],[الاسم الأول]])," ",TRIM(الجدول2[[#This Row],[اسم الأب]])," ",TRIM(الجدول2[[#This Row],[الكنية]]))</f>
        <v>أميرة علي ابراهيم</v>
      </c>
      <c r="H21" s="47" t="s">
        <v>314</v>
      </c>
      <c r="I21" s="48" t="s">
        <v>315</v>
      </c>
      <c r="J21" s="47" t="s">
        <v>58</v>
      </c>
      <c r="K21" s="47" t="s">
        <v>59</v>
      </c>
      <c r="L21" s="47" t="s">
        <v>90</v>
      </c>
      <c r="M21" s="47" t="s">
        <v>298</v>
      </c>
      <c r="N21" s="47" t="s">
        <v>59</v>
      </c>
      <c r="O21" s="49">
        <v>27885</v>
      </c>
      <c r="P21" s="47" t="s">
        <v>316</v>
      </c>
      <c r="Q21" s="47" t="s">
        <v>179</v>
      </c>
      <c r="R21" s="48" t="s">
        <v>317</v>
      </c>
      <c r="S21" s="47" t="s">
        <v>65</v>
      </c>
      <c r="T21" s="47"/>
      <c r="U21" s="47"/>
      <c r="V21" s="47" t="s">
        <v>66</v>
      </c>
      <c r="W21" s="47" t="s">
        <v>67</v>
      </c>
      <c r="X21" s="47" t="s">
        <v>68</v>
      </c>
      <c r="Y21" s="47" t="s">
        <v>169</v>
      </c>
      <c r="Z21" s="47" t="s">
        <v>318</v>
      </c>
      <c r="AA21" s="47"/>
      <c r="AB21" s="47" t="s">
        <v>319</v>
      </c>
      <c r="AC21" s="47" t="s">
        <v>73</v>
      </c>
      <c r="AD21" s="47" t="s">
        <v>74</v>
      </c>
      <c r="AE21" s="49">
        <v>41367</v>
      </c>
      <c r="AF21" s="47" t="s">
        <v>290</v>
      </c>
      <c r="AG21" s="47"/>
      <c r="AH21" s="47" t="s">
        <v>2277</v>
      </c>
      <c r="AI21" s="47" t="s">
        <v>291</v>
      </c>
      <c r="AJ21" s="47" t="s">
        <v>292</v>
      </c>
      <c r="AK21" s="47" t="s">
        <v>59</v>
      </c>
      <c r="AL21" s="47" t="s">
        <v>90</v>
      </c>
      <c r="AM21" s="47" t="s">
        <v>158</v>
      </c>
      <c r="AN21" s="47" t="s">
        <v>80</v>
      </c>
      <c r="AO21" s="47"/>
      <c r="AP21" s="47"/>
      <c r="AQ21" s="47" t="s">
        <v>81</v>
      </c>
      <c r="AR21" s="47"/>
      <c r="AS21" s="47" t="s">
        <v>173</v>
      </c>
      <c r="AT21" s="47" t="s">
        <v>291</v>
      </c>
      <c r="AU21" s="47" t="s">
        <v>83</v>
      </c>
      <c r="AV21" s="47" t="s">
        <v>320</v>
      </c>
      <c r="AW21" s="47" t="s">
        <v>293</v>
      </c>
      <c r="AX21" s="47" t="s">
        <v>294</v>
      </c>
      <c r="AY21" s="49">
        <v>41113</v>
      </c>
      <c r="AZ21" s="47" t="s">
        <v>83</v>
      </c>
      <c r="BA21" s="47"/>
      <c r="BB21" s="47" t="s">
        <v>2359</v>
      </c>
      <c r="BC21" s="47" t="s">
        <v>2542</v>
      </c>
      <c r="BD21" s="47">
        <v>523131640</v>
      </c>
      <c r="BE21" s="50">
        <v>2513</v>
      </c>
      <c r="BF21" s="53">
        <v>1368162</v>
      </c>
    </row>
    <row r="22" spans="1:58" s="51" customFormat="1" ht="23.4" hidden="1" x14ac:dyDescent="0.25">
      <c r="A22" s="46">
        <v>21</v>
      </c>
      <c r="B22" s="47">
        <v>1363</v>
      </c>
      <c r="C22" s="47"/>
      <c r="D22" s="47" t="s">
        <v>321</v>
      </c>
      <c r="E22" s="47" t="s">
        <v>239</v>
      </c>
      <c r="F22" s="47" t="s">
        <v>322</v>
      </c>
      <c r="G22" s="47" t="str">
        <f>CONCATENATE(TRIM(الجدول2[[#This Row],[الاسم الأول]])," ",TRIM(الجدول2[[#This Row],[اسم الأب]])," ",TRIM(الجدول2[[#This Row],[الكنية]]))</f>
        <v>أية حبيب عباس</v>
      </c>
      <c r="H22" s="47" t="s">
        <v>323</v>
      </c>
      <c r="I22" s="48" t="s">
        <v>324</v>
      </c>
      <c r="J22" s="47" t="s">
        <v>58</v>
      </c>
      <c r="K22" s="47" t="s">
        <v>59</v>
      </c>
      <c r="L22" s="47" t="s">
        <v>59</v>
      </c>
      <c r="M22" s="47" t="s">
        <v>60</v>
      </c>
      <c r="N22" s="47" t="s">
        <v>59</v>
      </c>
      <c r="O22" s="49">
        <v>32122</v>
      </c>
      <c r="P22" s="47" t="s">
        <v>325</v>
      </c>
      <c r="Q22" s="47" t="s">
        <v>179</v>
      </c>
      <c r="R22" s="48" t="s">
        <v>326</v>
      </c>
      <c r="S22" s="47" t="s">
        <v>109</v>
      </c>
      <c r="T22" s="47"/>
      <c r="U22" s="47">
        <v>2</v>
      </c>
      <c r="V22" s="47" t="s">
        <v>66</v>
      </c>
      <c r="W22" s="47" t="s">
        <v>67</v>
      </c>
      <c r="X22" s="47" t="s">
        <v>68</v>
      </c>
      <c r="Y22" s="47" t="s">
        <v>137</v>
      </c>
      <c r="Z22" s="47"/>
      <c r="AA22" s="47"/>
      <c r="AB22" s="47" t="s">
        <v>289</v>
      </c>
      <c r="AC22" s="47" t="s">
        <v>73</v>
      </c>
      <c r="AD22" s="47" t="s">
        <v>74</v>
      </c>
      <c r="AE22" s="49">
        <v>41295</v>
      </c>
      <c r="AF22" s="47" t="s">
        <v>123</v>
      </c>
      <c r="AG22" s="47"/>
      <c r="AH22" s="47" t="s">
        <v>2277</v>
      </c>
      <c r="AI22" s="47" t="s">
        <v>327</v>
      </c>
      <c r="AJ22" s="47" t="s">
        <v>328</v>
      </c>
      <c r="AK22" s="47" t="s">
        <v>59</v>
      </c>
      <c r="AL22" s="47" t="s">
        <v>59</v>
      </c>
      <c r="AM22" s="47" t="s">
        <v>99</v>
      </c>
      <c r="AN22" s="47" t="s">
        <v>83</v>
      </c>
      <c r="AO22" s="47" t="s">
        <v>329</v>
      </c>
      <c r="AP22" s="47" t="s">
        <v>330</v>
      </c>
      <c r="AQ22" s="47" t="s">
        <v>81</v>
      </c>
      <c r="AR22" s="47"/>
      <c r="AS22" s="47" t="s">
        <v>82</v>
      </c>
      <c r="AT22" s="47" t="s">
        <v>327</v>
      </c>
      <c r="AU22" s="47" t="s">
        <v>83</v>
      </c>
      <c r="AV22" s="47" t="s">
        <v>199</v>
      </c>
      <c r="AW22" s="47" t="s">
        <v>331</v>
      </c>
      <c r="AX22" s="47" t="s">
        <v>328</v>
      </c>
      <c r="AY22" s="49">
        <v>40070</v>
      </c>
      <c r="AZ22" s="47" t="s">
        <v>80</v>
      </c>
      <c r="BA22" s="47" t="s">
        <v>332</v>
      </c>
      <c r="BB22" s="47" t="s">
        <v>2358</v>
      </c>
      <c r="BC22" s="47" t="s">
        <v>2542</v>
      </c>
      <c r="BD22" s="47">
        <v>528085568</v>
      </c>
      <c r="BE22" s="50">
        <v>22175</v>
      </c>
      <c r="BF22" s="53">
        <v>1322775</v>
      </c>
    </row>
    <row r="23" spans="1:58" s="51" customFormat="1" ht="23.4" x14ac:dyDescent="0.25">
      <c r="A23" s="46">
        <v>22</v>
      </c>
      <c r="B23" s="47">
        <v>1493</v>
      </c>
      <c r="C23" s="47">
        <v>839044</v>
      </c>
      <c r="D23" s="47" t="s">
        <v>333</v>
      </c>
      <c r="E23" s="47" t="s">
        <v>334</v>
      </c>
      <c r="F23" s="47" t="s">
        <v>86</v>
      </c>
      <c r="G23" s="47" t="str">
        <f>CONCATENATE(TRIM(الجدول2[[#This Row],[الاسم الأول]])," ",TRIM(الجدول2[[#This Row],[اسم الأب]])," ",TRIM(الجدول2[[#This Row],[الكنية]]))</f>
        <v>باسم سلمان احمد</v>
      </c>
      <c r="H23" s="47" t="s">
        <v>335</v>
      </c>
      <c r="I23" s="48" t="s">
        <v>336</v>
      </c>
      <c r="J23" s="47" t="s">
        <v>58</v>
      </c>
      <c r="K23" s="47" t="s">
        <v>59</v>
      </c>
      <c r="L23" s="47" t="s">
        <v>59</v>
      </c>
      <c r="M23" s="47" t="s">
        <v>60</v>
      </c>
      <c r="N23" s="47" t="s">
        <v>337</v>
      </c>
      <c r="O23" s="49">
        <v>27267</v>
      </c>
      <c r="P23" s="47" t="s">
        <v>338</v>
      </c>
      <c r="Q23" s="47" t="s">
        <v>63</v>
      </c>
      <c r="R23" s="48" t="s">
        <v>339</v>
      </c>
      <c r="S23" s="47" t="s">
        <v>109</v>
      </c>
      <c r="T23" s="47">
        <v>1</v>
      </c>
      <c r="U23" s="47">
        <v>2</v>
      </c>
      <c r="V23" s="47" t="s">
        <v>66</v>
      </c>
      <c r="W23" s="47" t="s">
        <v>67</v>
      </c>
      <c r="X23" s="47" t="s">
        <v>68</v>
      </c>
      <c r="Y23" s="54" t="s">
        <v>121</v>
      </c>
      <c r="Z23" s="47"/>
      <c r="AA23" s="47"/>
      <c r="AB23" s="47" t="s">
        <v>72</v>
      </c>
      <c r="AC23" s="47" t="s">
        <v>73</v>
      </c>
      <c r="AD23" s="47" t="s">
        <v>1573</v>
      </c>
      <c r="AE23" s="49">
        <v>36299</v>
      </c>
      <c r="AF23" s="47" t="s">
        <v>75</v>
      </c>
      <c r="AG23" s="47"/>
      <c r="AH23" s="47" t="s">
        <v>2277</v>
      </c>
      <c r="AI23" s="47" t="s">
        <v>76</v>
      </c>
      <c r="AJ23" s="47" t="s">
        <v>340</v>
      </c>
      <c r="AK23" s="47" t="s">
        <v>59</v>
      </c>
      <c r="AL23" s="47" t="s">
        <v>59</v>
      </c>
      <c r="AM23" s="47" t="s">
        <v>99</v>
      </c>
      <c r="AN23" s="47" t="s">
        <v>83</v>
      </c>
      <c r="AO23" s="47" t="s">
        <v>341</v>
      </c>
      <c r="AP23" s="47" t="s">
        <v>342</v>
      </c>
      <c r="AQ23" s="47" t="s">
        <v>81</v>
      </c>
      <c r="AR23" s="47"/>
      <c r="AS23" s="47" t="s">
        <v>173</v>
      </c>
      <c r="AT23" s="47" t="s">
        <v>76</v>
      </c>
      <c r="AU23" s="47" t="s">
        <v>83</v>
      </c>
      <c r="AV23" s="47" t="s">
        <v>184</v>
      </c>
      <c r="AW23" s="47" t="s">
        <v>343</v>
      </c>
      <c r="AX23" s="47" t="s">
        <v>344</v>
      </c>
      <c r="AY23" s="49">
        <v>36109</v>
      </c>
      <c r="AZ23" s="47" t="s">
        <v>80</v>
      </c>
      <c r="BA23" s="47"/>
      <c r="BB23" s="47"/>
      <c r="BC23" s="47" t="s">
        <v>2542</v>
      </c>
      <c r="BD23" s="47">
        <v>526021430</v>
      </c>
      <c r="BE23" s="50">
        <v>9218</v>
      </c>
      <c r="BF23" s="53">
        <v>1409000</v>
      </c>
    </row>
    <row r="24" spans="1:58" s="51" customFormat="1" ht="23.4" hidden="1" x14ac:dyDescent="0.25">
      <c r="A24" s="46">
        <v>23</v>
      </c>
      <c r="B24" s="47">
        <v>1515</v>
      </c>
      <c r="C24" s="47">
        <v>1639567</v>
      </c>
      <c r="D24" s="47" t="s">
        <v>333</v>
      </c>
      <c r="E24" s="47" t="s">
        <v>228</v>
      </c>
      <c r="F24" s="47" t="s">
        <v>55</v>
      </c>
      <c r="G24" s="47" t="str">
        <f>CONCATENATE(TRIM(الجدول2[[#This Row],[الاسم الأول]])," ",TRIM(الجدول2[[#This Row],[اسم الأب]])," ",TRIM(الجدول2[[#This Row],[الكنية]]))</f>
        <v>باسم محمود حسن</v>
      </c>
      <c r="H24" s="47" t="s">
        <v>345</v>
      </c>
      <c r="I24" s="48" t="s">
        <v>346</v>
      </c>
      <c r="J24" s="47" t="s">
        <v>58</v>
      </c>
      <c r="K24" s="47" t="s">
        <v>59</v>
      </c>
      <c r="L24" s="47" t="s">
        <v>59</v>
      </c>
      <c r="M24" s="47" t="s">
        <v>60</v>
      </c>
      <c r="N24" s="47" t="s">
        <v>59</v>
      </c>
      <c r="O24" s="49">
        <v>27931</v>
      </c>
      <c r="P24" s="47" t="s">
        <v>347</v>
      </c>
      <c r="Q24" s="47" t="s">
        <v>63</v>
      </c>
      <c r="R24" s="48" t="s">
        <v>348</v>
      </c>
      <c r="S24" s="47" t="s">
        <v>109</v>
      </c>
      <c r="T24" s="47">
        <v>1</v>
      </c>
      <c r="U24" s="47">
        <v>3</v>
      </c>
      <c r="V24" s="47" t="s">
        <v>66</v>
      </c>
      <c r="W24" s="47" t="s">
        <v>67</v>
      </c>
      <c r="X24" s="47" t="s">
        <v>68</v>
      </c>
      <c r="Y24" s="47" t="s">
        <v>152</v>
      </c>
      <c r="Z24" s="47" t="s">
        <v>349</v>
      </c>
      <c r="AA24" s="47"/>
      <c r="AB24" s="47" t="s">
        <v>154</v>
      </c>
      <c r="AC24" s="47" t="s">
        <v>73</v>
      </c>
      <c r="AD24" s="47" t="s">
        <v>74</v>
      </c>
      <c r="AE24" s="49">
        <v>45083</v>
      </c>
      <c r="AF24" s="47" t="s">
        <v>123</v>
      </c>
      <c r="AG24" s="47"/>
      <c r="AH24" s="47" t="s">
        <v>140</v>
      </c>
      <c r="AI24" s="47" t="s">
        <v>250</v>
      </c>
      <c r="AJ24" s="47"/>
      <c r="AK24" s="47" t="s">
        <v>59</v>
      </c>
      <c r="AL24" s="47" t="s">
        <v>59</v>
      </c>
      <c r="AM24" s="47" t="s">
        <v>79</v>
      </c>
      <c r="AN24" s="47" t="s">
        <v>80</v>
      </c>
      <c r="AO24" s="47"/>
      <c r="AP24" s="47"/>
      <c r="AQ24" s="47" t="s">
        <v>81</v>
      </c>
      <c r="AR24" s="47"/>
      <c r="AS24" s="47" t="s">
        <v>142</v>
      </c>
      <c r="AT24" s="47" t="s">
        <v>250</v>
      </c>
      <c r="AU24" s="47"/>
      <c r="AV24" s="47"/>
      <c r="AW24" s="47"/>
      <c r="AX24" s="47"/>
      <c r="AY24" s="49"/>
      <c r="AZ24" s="47" t="s">
        <v>80</v>
      </c>
      <c r="BA24" s="47"/>
      <c r="BB24" s="47" t="s">
        <v>2358</v>
      </c>
      <c r="BC24" s="47" t="s">
        <v>2542</v>
      </c>
      <c r="BD24" s="47">
        <v>523179790</v>
      </c>
      <c r="BE24" s="50">
        <v>2958</v>
      </c>
      <c r="BF24" s="53">
        <v>1098000</v>
      </c>
    </row>
    <row r="25" spans="1:58" s="51" customFormat="1" ht="23.4" hidden="1" x14ac:dyDescent="0.25">
      <c r="A25" s="46">
        <v>24</v>
      </c>
      <c r="B25" s="47">
        <v>44099</v>
      </c>
      <c r="C25" s="47">
        <v>1392338</v>
      </c>
      <c r="D25" s="47" t="s">
        <v>350</v>
      </c>
      <c r="E25" s="47" t="s">
        <v>131</v>
      </c>
      <c r="F25" s="47" t="s">
        <v>351</v>
      </c>
      <c r="G25" s="47" t="str">
        <f>CONCATENATE(TRIM(الجدول2[[#This Row],[الاسم الأول]])," ",TRIM(الجدول2[[#This Row],[اسم الأب]])," ",TRIM(الجدول2[[#This Row],[الكنية]]))</f>
        <v>براءه علي حاج معلا</v>
      </c>
      <c r="H25" s="47" t="s">
        <v>352</v>
      </c>
      <c r="I25" s="48" t="s">
        <v>353</v>
      </c>
      <c r="J25" s="47" t="s">
        <v>58</v>
      </c>
      <c r="K25" s="47" t="s">
        <v>59</v>
      </c>
      <c r="L25" s="47" t="s">
        <v>59</v>
      </c>
      <c r="M25" s="47" t="s">
        <v>60</v>
      </c>
      <c r="N25" s="47" t="s">
        <v>59</v>
      </c>
      <c r="O25" s="49">
        <v>33239</v>
      </c>
      <c r="P25" s="47" t="s">
        <v>354</v>
      </c>
      <c r="Q25" s="47" t="s">
        <v>179</v>
      </c>
      <c r="R25" s="48"/>
      <c r="S25" s="47" t="s">
        <v>65</v>
      </c>
      <c r="T25" s="47"/>
      <c r="U25" s="47"/>
      <c r="V25" s="47" t="s">
        <v>66</v>
      </c>
      <c r="W25" s="47" t="s">
        <v>67</v>
      </c>
      <c r="X25" s="47" t="s">
        <v>68</v>
      </c>
      <c r="Y25" s="47" t="s">
        <v>137</v>
      </c>
      <c r="Z25" s="47"/>
      <c r="AA25" s="47"/>
      <c r="AB25" s="47" t="s">
        <v>289</v>
      </c>
      <c r="AC25" s="47" t="s">
        <v>73</v>
      </c>
      <c r="AD25" s="47" t="s">
        <v>74</v>
      </c>
      <c r="AE25" s="49">
        <v>41214</v>
      </c>
      <c r="AF25" s="47" t="s">
        <v>139</v>
      </c>
      <c r="AG25" s="47"/>
      <c r="AH25" s="47" t="s">
        <v>124</v>
      </c>
      <c r="AI25" s="47" t="s">
        <v>125</v>
      </c>
      <c r="AJ25" s="47"/>
      <c r="AK25" s="47" t="s">
        <v>59</v>
      </c>
      <c r="AL25" s="47" t="s">
        <v>59</v>
      </c>
      <c r="AM25" s="47" t="s">
        <v>99</v>
      </c>
      <c r="AN25" s="47" t="s">
        <v>80</v>
      </c>
      <c r="AO25" s="47"/>
      <c r="AP25" s="47"/>
      <c r="AQ25" s="47" t="s">
        <v>81</v>
      </c>
      <c r="AR25" s="47"/>
      <c r="AS25" s="47" t="s">
        <v>82</v>
      </c>
      <c r="AT25" s="47" t="s">
        <v>128</v>
      </c>
      <c r="AU25" s="47" t="s">
        <v>83</v>
      </c>
      <c r="AV25" s="47"/>
      <c r="AW25" s="47"/>
      <c r="AX25" s="47" t="s">
        <v>355</v>
      </c>
      <c r="AY25" s="49">
        <v>39736</v>
      </c>
      <c r="AZ25" s="47" t="s">
        <v>80</v>
      </c>
      <c r="BA25" s="47" t="s">
        <v>356</v>
      </c>
      <c r="BB25" s="47" t="s">
        <v>2358</v>
      </c>
      <c r="BC25" s="47" t="s">
        <v>2542</v>
      </c>
      <c r="BD25" s="47">
        <v>526698988</v>
      </c>
      <c r="BE25" s="50">
        <v>14940</v>
      </c>
      <c r="BF25" s="53">
        <v>1226025</v>
      </c>
    </row>
    <row r="26" spans="1:58" s="51" customFormat="1" ht="23.4" hidden="1" x14ac:dyDescent="0.25">
      <c r="A26" s="46">
        <v>25</v>
      </c>
      <c r="B26" s="47">
        <v>1674</v>
      </c>
      <c r="C26" s="47">
        <v>1639557</v>
      </c>
      <c r="D26" s="47" t="s">
        <v>357</v>
      </c>
      <c r="E26" s="47" t="s">
        <v>53</v>
      </c>
      <c r="F26" s="47" t="s">
        <v>358</v>
      </c>
      <c r="G26" s="47" t="str">
        <f>CONCATENATE(TRIM(الجدول2[[#This Row],[الاسم الأول]])," ",TRIM(الجدول2[[#This Row],[اسم الأب]])," ",TRIM(الجدول2[[#This Row],[الكنية]]))</f>
        <v>بشار ابراهيم حصاوي</v>
      </c>
      <c r="H26" s="47" t="s">
        <v>359</v>
      </c>
      <c r="I26" s="48" t="s">
        <v>360</v>
      </c>
      <c r="J26" s="47" t="s">
        <v>58</v>
      </c>
      <c r="K26" s="47" t="s">
        <v>361</v>
      </c>
      <c r="L26" s="47" t="s">
        <v>362</v>
      </c>
      <c r="M26" s="47" t="s">
        <v>363</v>
      </c>
      <c r="N26" s="47" t="s">
        <v>364</v>
      </c>
      <c r="O26" s="49">
        <v>32436</v>
      </c>
      <c r="P26" s="47" t="s">
        <v>365</v>
      </c>
      <c r="Q26" s="47" t="s">
        <v>63</v>
      </c>
      <c r="R26" s="48" t="s">
        <v>366</v>
      </c>
      <c r="S26" s="47" t="s">
        <v>109</v>
      </c>
      <c r="T26" s="47">
        <v>1</v>
      </c>
      <c r="U26" s="47">
        <v>4</v>
      </c>
      <c r="V26" s="47" t="s">
        <v>66</v>
      </c>
      <c r="W26" s="47" t="s">
        <v>67</v>
      </c>
      <c r="X26" s="47" t="s">
        <v>68</v>
      </c>
      <c r="Y26" s="47" t="s">
        <v>152</v>
      </c>
      <c r="Z26" s="47" t="s">
        <v>349</v>
      </c>
      <c r="AA26" s="47" t="s">
        <v>367</v>
      </c>
      <c r="AB26" s="47" t="s">
        <v>249</v>
      </c>
      <c r="AC26" s="47" t="s">
        <v>155</v>
      </c>
      <c r="AD26" s="47" t="s">
        <v>74</v>
      </c>
      <c r="AE26" s="49">
        <v>45077</v>
      </c>
      <c r="AF26" s="47" t="s">
        <v>156</v>
      </c>
      <c r="AG26" s="47"/>
      <c r="AH26" s="47" t="s">
        <v>157</v>
      </c>
      <c r="AI26" s="47" t="s">
        <v>143</v>
      </c>
      <c r="AJ26" s="47"/>
      <c r="AK26" s="47" t="s">
        <v>59</v>
      </c>
      <c r="AL26" s="47" t="s">
        <v>164</v>
      </c>
      <c r="AM26" s="47" t="s">
        <v>79</v>
      </c>
      <c r="AN26" s="47" t="s">
        <v>80</v>
      </c>
      <c r="AO26" s="47"/>
      <c r="AP26" s="47"/>
      <c r="AQ26" s="47" t="s">
        <v>81</v>
      </c>
      <c r="AR26" s="47"/>
      <c r="AS26" s="47" t="s">
        <v>368</v>
      </c>
      <c r="AT26" s="47" t="s">
        <v>250</v>
      </c>
      <c r="AU26" s="47"/>
      <c r="AV26" s="47"/>
      <c r="AW26" s="47"/>
      <c r="AX26" s="47"/>
      <c r="AY26" s="49"/>
      <c r="AZ26" s="47" t="s">
        <v>80</v>
      </c>
      <c r="BA26" s="47"/>
      <c r="BB26" s="47" t="s">
        <v>2358</v>
      </c>
      <c r="BC26" s="47" t="s">
        <v>2542</v>
      </c>
      <c r="BD26" s="47">
        <v>523186393</v>
      </c>
      <c r="BE26" s="50">
        <v>3009</v>
      </c>
      <c r="BF26" s="53">
        <v>918870</v>
      </c>
    </row>
    <row r="27" spans="1:58" s="51" customFormat="1" ht="23.4" hidden="1" x14ac:dyDescent="0.25">
      <c r="A27" s="46">
        <v>26</v>
      </c>
      <c r="B27" s="47">
        <v>1696</v>
      </c>
      <c r="C27" s="47"/>
      <c r="D27" s="47" t="s">
        <v>357</v>
      </c>
      <c r="E27" s="47" t="s">
        <v>369</v>
      </c>
      <c r="F27" s="47" t="s">
        <v>351</v>
      </c>
      <c r="G27" s="47" t="str">
        <f>CONCATENATE(TRIM(الجدول2[[#This Row],[الاسم الأول]])," ",TRIM(الجدول2[[#This Row],[اسم الأب]])," ",TRIM(الجدول2[[#This Row],[الكنية]]))</f>
        <v>بشار عبدالكريم حاج معلا</v>
      </c>
      <c r="H27" s="47" t="s">
        <v>370</v>
      </c>
      <c r="I27" s="48" t="s">
        <v>371</v>
      </c>
      <c r="J27" s="47" t="s">
        <v>58</v>
      </c>
      <c r="K27" s="47" t="s">
        <v>59</v>
      </c>
      <c r="L27" s="47" t="s">
        <v>59</v>
      </c>
      <c r="M27" s="47" t="s">
        <v>60</v>
      </c>
      <c r="N27" s="47" t="s">
        <v>59</v>
      </c>
      <c r="O27" s="49">
        <v>26530</v>
      </c>
      <c r="P27" s="47" t="s">
        <v>354</v>
      </c>
      <c r="Q27" s="47" t="s">
        <v>63</v>
      </c>
      <c r="R27" s="48" t="s">
        <v>372</v>
      </c>
      <c r="S27" s="47" t="s">
        <v>109</v>
      </c>
      <c r="T27" s="47">
        <v>1</v>
      </c>
      <c r="U27" s="47">
        <v>2</v>
      </c>
      <c r="V27" s="47" t="s">
        <v>66</v>
      </c>
      <c r="W27" s="47" t="s">
        <v>67</v>
      </c>
      <c r="X27" s="47" t="s">
        <v>68</v>
      </c>
      <c r="Y27" s="47" t="s">
        <v>137</v>
      </c>
      <c r="Z27" s="47"/>
      <c r="AA27" s="47"/>
      <c r="AB27" s="47" t="s">
        <v>373</v>
      </c>
      <c r="AC27" s="47" t="s">
        <v>155</v>
      </c>
      <c r="AD27" s="47" t="s">
        <v>74</v>
      </c>
      <c r="AE27" s="49">
        <v>44054</v>
      </c>
      <c r="AF27" s="47" t="s">
        <v>156</v>
      </c>
      <c r="AG27" s="47"/>
      <c r="AH27" s="47" t="s">
        <v>157</v>
      </c>
      <c r="AI27" s="47" t="s">
        <v>250</v>
      </c>
      <c r="AJ27" s="47"/>
      <c r="AK27" s="47" t="s">
        <v>59</v>
      </c>
      <c r="AL27" s="47" t="s">
        <v>59</v>
      </c>
      <c r="AM27" s="47" t="s">
        <v>99</v>
      </c>
      <c r="AN27" s="47" t="s">
        <v>80</v>
      </c>
      <c r="AO27" s="47"/>
      <c r="AP27" s="47"/>
      <c r="AQ27" s="47" t="s">
        <v>81</v>
      </c>
      <c r="AR27" s="47"/>
      <c r="AS27" s="47" t="s">
        <v>82</v>
      </c>
      <c r="AT27" s="47" t="s">
        <v>250</v>
      </c>
      <c r="AU27" s="47"/>
      <c r="AV27" s="47"/>
      <c r="AW27" s="47"/>
      <c r="AX27" s="47"/>
      <c r="AY27" s="49"/>
      <c r="AZ27" s="47" t="s">
        <v>80</v>
      </c>
      <c r="BA27" s="47" t="s">
        <v>374</v>
      </c>
      <c r="BB27" s="47" t="s">
        <v>2358</v>
      </c>
      <c r="BC27" s="47" t="s">
        <v>2542</v>
      </c>
      <c r="BD27" s="47">
        <v>526704599</v>
      </c>
      <c r="BE27" s="50">
        <v>14969</v>
      </c>
      <c r="BF27" s="53">
        <v>1001241</v>
      </c>
    </row>
    <row r="28" spans="1:58" s="51" customFormat="1" ht="23.4" hidden="1" x14ac:dyDescent="0.25">
      <c r="A28" s="46">
        <v>27</v>
      </c>
      <c r="B28" s="47">
        <v>45065</v>
      </c>
      <c r="C28" s="47">
        <v>1639560</v>
      </c>
      <c r="D28" s="47" t="s">
        <v>375</v>
      </c>
      <c r="E28" s="47" t="s">
        <v>334</v>
      </c>
      <c r="F28" s="47" t="s">
        <v>376</v>
      </c>
      <c r="G28" s="47" t="str">
        <f>CONCATENATE(TRIM(الجدول2[[#This Row],[الاسم الأول]])," ",TRIM(الجدول2[[#This Row],[اسم الأب]])," ",TRIM(الجدول2[[#This Row],[الكنية]]))</f>
        <v>بهاء سلمان الموعي</v>
      </c>
      <c r="H28" s="47" t="s">
        <v>377</v>
      </c>
      <c r="I28" s="48" t="s">
        <v>378</v>
      </c>
      <c r="J28" s="47" t="s">
        <v>58</v>
      </c>
      <c r="K28" s="47" t="s">
        <v>59</v>
      </c>
      <c r="L28" s="47" t="s">
        <v>164</v>
      </c>
      <c r="M28" s="47" t="s">
        <v>165</v>
      </c>
      <c r="N28" s="47" t="s">
        <v>379</v>
      </c>
      <c r="O28" s="49">
        <v>29655</v>
      </c>
      <c r="P28" s="47" t="s">
        <v>380</v>
      </c>
      <c r="Q28" s="47" t="s">
        <v>63</v>
      </c>
      <c r="R28" s="48" t="s">
        <v>381</v>
      </c>
      <c r="S28" s="47" t="s">
        <v>109</v>
      </c>
      <c r="T28" s="47">
        <v>1</v>
      </c>
      <c r="U28" s="47">
        <v>2</v>
      </c>
      <c r="V28" s="47" t="s">
        <v>66</v>
      </c>
      <c r="W28" s="47" t="s">
        <v>67</v>
      </c>
      <c r="X28" s="47" t="s">
        <v>68</v>
      </c>
      <c r="Y28" s="47" t="s">
        <v>152</v>
      </c>
      <c r="Z28" s="47"/>
      <c r="AA28" s="47"/>
      <c r="AB28" s="47" t="s">
        <v>249</v>
      </c>
      <c r="AC28" s="47" t="s">
        <v>155</v>
      </c>
      <c r="AD28" s="47" t="s">
        <v>74</v>
      </c>
      <c r="AE28" s="49">
        <v>45103</v>
      </c>
      <c r="AF28" s="47" t="s">
        <v>156</v>
      </c>
      <c r="AG28" s="47"/>
      <c r="AH28" s="47" t="s">
        <v>157</v>
      </c>
      <c r="AI28" s="47" t="s">
        <v>250</v>
      </c>
      <c r="AJ28" s="47"/>
      <c r="AK28" s="47" t="s">
        <v>59</v>
      </c>
      <c r="AL28" s="47" t="s">
        <v>164</v>
      </c>
      <c r="AM28" s="47" t="s">
        <v>99</v>
      </c>
      <c r="AN28" s="47" t="s">
        <v>80</v>
      </c>
      <c r="AO28" s="47"/>
      <c r="AP28" s="47"/>
      <c r="AQ28" s="47" t="s">
        <v>81</v>
      </c>
      <c r="AR28" s="47"/>
      <c r="AS28" s="47" t="s">
        <v>236</v>
      </c>
      <c r="AT28" s="47" t="s">
        <v>250</v>
      </c>
      <c r="AU28" s="47"/>
      <c r="AV28" s="47"/>
      <c r="AW28" s="47"/>
      <c r="AX28" s="47"/>
      <c r="AY28" s="49"/>
      <c r="AZ28" s="47" t="s">
        <v>80</v>
      </c>
      <c r="BA28" s="47"/>
      <c r="BB28" s="47" t="s">
        <v>2358</v>
      </c>
      <c r="BC28" s="47" t="s">
        <v>2542</v>
      </c>
      <c r="BD28" s="47">
        <v>536496866</v>
      </c>
      <c r="BE28" s="50">
        <v>33215</v>
      </c>
      <c r="BF28" s="53">
        <v>918870</v>
      </c>
    </row>
    <row r="29" spans="1:58" s="51" customFormat="1" ht="23.4" hidden="1" x14ac:dyDescent="0.25">
      <c r="A29" s="46">
        <v>28</v>
      </c>
      <c r="B29" s="47">
        <v>1833</v>
      </c>
      <c r="C29" s="47"/>
      <c r="D29" s="47" t="s">
        <v>382</v>
      </c>
      <c r="E29" s="47" t="s">
        <v>228</v>
      </c>
      <c r="F29" s="47" t="s">
        <v>228</v>
      </c>
      <c r="G29" s="47" t="str">
        <f>CONCATENATE(TRIM(الجدول2[[#This Row],[الاسم الأول]])," ",TRIM(الجدول2[[#This Row],[اسم الأب]])," ",TRIM(الجدول2[[#This Row],[الكنية]]))</f>
        <v>تغريد محمود محمود</v>
      </c>
      <c r="H29" s="47" t="s">
        <v>383</v>
      </c>
      <c r="I29" s="48" t="s">
        <v>384</v>
      </c>
      <c r="J29" s="47" t="s">
        <v>58</v>
      </c>
      <c r="K29" s="47" t="s">
        <v>59</v>
      </c>
      <c r="L29" s="47" t="s">
        <v>59</v>
      </c>
      <c r="M29" s="47" t="s">
        <v>60</v>
      </c>
      <c r="N29" s="47" t="s">
        <v>59</v>
      </c>
      <c r="O29" s="49">
        <v>29590</v>
      </c>
      <c r="P29" s="47" t="s">
        <v>385</v>
      </c>
      <c r="Q29" s="47" t="s">
        <v>179</v>
      </c>
      <c r="R29" s="48" t="s">
        <v>386</v>
      </c>
      <c r="S29" s="47" t="s">
        <v>109</v>
      </c>
      <c r="T29" s="47"/>
      <c r="U29" s="47">
        <v>2</v>
      </c>
      <c r="V29" s="47" t="s">
        <v>66</v>
      </c>
      <c r="W29" s="47" t="s">
        <v>67</v>
      </c>
      <c r="X29" s="47" t="s">
        <v>68</v>
      </c>
      <c r="Y29" s="47" t="s">
        <v>137</v>
      </c>
      <c r="Z29" s="47"/>
      <c r="AA29" s="47"/>
      <c r="AB29" s="47" t="s">
        <v>387</v>
      </c>
      <c r="AC29" s="47" t="s">
        <v>155</v>
      </c>
      <c r="AD29" s="47" t="s">
        <v>74</v>
      </c>
      <c r="AE29" s="49">
        <v>40671</v>
      </c>
      <c r="AF29" s="47" t="s">
        <v>123</v>
      </c>
      <c r="AG29" s="47"/>
      <c r="AH29" s="47" t="s">
        <v>157</v>
      </c>
      <c r="AI29" s="47" t="s">
        <v>143</v>
      </c>
      <c r="AJ29" s="47"/>
      <c r="AK29" s="47" t="s">
        <v>59</v>
      </c>
      <c r="AL29" s="47" t="s">
        <v>59</v>
      </c>
      <c r="AM29" s="47" t="s">
        <v>99</v>
      </c>
      <c r="AN29" s="47" t="s">
        <v>83</v>
      </c>
      <c r="AO29" s="47" t="s">
        <v>388</v>
      </c>
      <c r="AP29" s="47" t="s">
        <v>389</v>
      </c>
      <c r="AQ29" s="47" t="s">
        <v>81</v>
      </c>
      <c r="AR29" s="47"/>
      <c r="AS29" s="47" t="s">
        <v>173</v>
      </c>
      <c r="AT29" s="47" t="s">
        <v>143</v>
      </c>
      <c r="AU29" s="47" t="s">
        <v>83</v>
      </c>
      <c r="AV29" s="47"/>
      <c r="AW29" s="47"/>
      <c r="AX29" s="47"/>
      <c r="AY29" s="49">
        <v>35065</v>
      </c>
      <c r="AZ29" s="47" t="s">
        <v>80</v>
      </c>
      <c r="BA29" s="47" t="s">
        <v>390</v>
      </c>
      <c r="BB29" s="47" t="s">
        <v>2358</v>
      </c>
      <c r="BC29" s="47" t="s">
        <v>2542</v>
      </c>
      <c r="BD29" s="47">
        <v>526599205</v>
      </c>
      <c r="BE29" s="50">
        <v>13912</v>
      </c>
      <c r="BF29" s="53">
        <v>1185000</v>
      </c>
    </row>
    <row r="30" spans="1:58" s="51" customFormat="1" ht="23.4" hidden="1" x14ac:dyDescent="0.25">
      <c r="A30" s="46">
        <v>29</v>
      </c>
      <c r="B30" s="47">
        <v>1846</v>
      </c>
      <c r="C30" s="47">
        <v>1639577</v>
      </c>
      <c r="D30" s="47" t="s">
        <v>391</v>
      </c>
      <c r="E30" s="47" t="s">
        <v>131</v>
      </c>
      <c r="F30" s="47" t="s">
        <v>392</v>
      </c>
      <c r="G30" s="47" t="str">
        <f>CONCATENATE(TRIM(الجدول2[[#This Row],[الاسم الأول]])," ",TRIM(الجدول2[[#This Row],[اسم الأب]])," ",TRIM(الجدول2[[#This Row],[الكنية]]))</f>
        <v>تمام علي الزمريني</v>
      </c>
      <c r="H30" s="47" t="s">
        <v>393</v>
      </c>
      <c r="I30" s="48" t="s">
        <v>394</v>
      </c>
      <c r="J30" s="47" t="s">
        <v>58</v>
      </c>
      <c r="K30" s="47" t="s">
        <v>59</v>
      </c>
      <c r="L30" s="47" t="s">
        <v>90</v>
      </c>
      <c r="M30" s="47" t="s">
        <v>298</v>
      </c>
      <c r="N30" s="47" t="s">
        <v>395</v>
      </c>
      <c r="O30" s="49">
        <v>31778</v>
      </c>
      <c r="P30" s="47" t="s">
        <v>396</v>
      </c>
      <c r="Q30" s="47" t="s">
        <v>63</v>
      </c>
      <c r="R30" s="48" t="s">
        <v>397</v>
      </c>
      <c r="S30" s="47" t="s">
        <v>109</v>
      </c>
      <c r="T30" s="47">
        <v>1</v>
      </c>
      <c r="U30" s="47">
        <v>2</v>
      </c>
      <c r="V30" s="47" t="s">
        <v>66</v>
      </c>
      <c r="W30" s="47" t="s">
        <v>67</v>
      </c>
      <c r="X30" s="47" t="s">
        <v>68</v>
      </c>
      <c r="Y30" s="47" t="s">
        <v>94</v>
      </c>
      <c r="Z30" s="47" t="s">
        <v>221</v>
      </c>
      <c r="AA30" s="47"/>
      <c r="AB30" s="47" t="s">
        <v>398</v>
      </c>
      <c r="AC30" s="47" t="s">
        <v>155</v>
      </c>
      <c r="AD30" s="47" t="s">
        <v>74</v>
      </c>
      <c r="AE30" s="49">
        <v>44336</v>
      </c>
      <c r="AF30" s="47" t="s">
        <v>123</v>
      </c>
      <c r="AG30" s="47"/>
      <c r="AH30" s="47" t="s">
        <v>2277</v>
      </c>
      <c r="AI30" s="47" t="s">
        <v>327</v>
      </c>
      <c r="AJ30" s="47" t="s">
        <v>399</v>
      </c>
      <c r="AK30" s="47" t="s">
        <v>59</v>
      </c>
      <c r="AL30" s="47" t="s">
        <v>59</v>
      </c>
      <c r="AM30" s="47" t="s">
        <v>99</v>
      </c>
      <c r="AN30" s="47" t="s">
        <v>80</v>
      </c>
      <c r="AO30" s="47"/>
      <c r="AP30" s="47"/>
      <c r="AQ30" s="47" t="s">
        <v>81</v>
      </c>
      <c r="AR30" s="47"/>
      <c r="AS30" s="47" t="s">
        <v>173</v>
      </c>
      <c r="AT30" s="47" t="s">
        <v>327</v>
      </c>
      <c r="AU30" s="47" t="s">
        <v>83</v>
      </c>
      <c r="AV30" s="47" t="s">
        <v>320</v>
      </c>
      <c r="AW30" s="47" t="s">
        <v>400</v>
      </c>
      <c r="AX30" s="47" t="s">
        <v>401</v>
      </c>
      <c r="AY30" s="49">
        <v>40765</v>
      </c>
      <c r="AZ30" s="47" t="s">
        <v>80</v>
      </c>
      <c r="BA30" s="47"/>
      <c r="BB30" s="47" t="s">
        <v>2359</v>
      </c>
      <c r="BC30" s="47" t="s">
        <v>2542</v>
      </c>
      <c r="BD30" s="47">
        <v>536049501</v>
      </c>
      <c r="BE30" s="50">
        <v>32136</v>
      </c>
      <c r="BF30" s="53">
        <v>1110357</v>
      </c>
    </row>
    <row r="31" spans="1:58" s="51" customFormat="1" ht="23.4" hidden="1" x14ac:dyDescent="0.25">
      <c r="A31" s="46">
        <v>30</v>
      </c>
      <c r="B31" s="47">
        <v>1882</v>
      </c>
      <c r="C31" s="47">
        <v>1634545</v>
      </c>
      <c r="D31" s="47" t="s">
        <v>402</v>
      </c>
      <c r="E31" s="47" t="s">
        <v>131</v>
      </c>
      <c r="F31" s="47" t="s">
        <v>403</v>
      </c>
      <c r="G31" s="47" t="str">
        <f>CONCATENATE(TRIM(الجدول2[[#This Row],[الاسم الأول]])," ",TRIM(الجدول2[[#This Row],[اسم الأب]])," ",TRIM(الجدول2[[#This Row],[الكنية]]))</f>
        <v>تيماء علي صافي</v>
      </c>
      <c r="H31" s="47" t="s">
        <v>404</v>
      </c>
      <c r="I31" s="48" t="s">
        <v>405</v>
      </c>
      <c r="J31" s="47" t="s">
        <v>58</v>
      </c>
      <c r="K31" s="47" t="s">
        <v>59</v>
      </c>
      <c r="L31" s="47" t="s">
        <v>59</v>
      </c>
      <c r="M31" s="47" t="s">
        <v>406</v>
      </c>
      <c r="N31" s="47" t="s">
        <v>59</v>
      </c>
      <c r="O31" s="49">
        <v>36161</v>
      </c>
      <c r="P31" s="47" t="s">
        <v>407</v>
      </c>
      <c r="Q31" s="47" t="s">
        <v>179</v>
      </c>
      <c r="R31" s="48" t="s">
        <v>408</v>
      </c>
      <c r="S31" s="47" t="s">
        <v>65</v>
      </c>
      <c r="T31" s="47"/>
      <c r="U31" s="47"/>
      <c r="V31" s="47" t="s">
        <v>66</v>
      </c>
      <c r="W31" s="47" t="s">
        <v>67</v>
      </c>
      <c r="X31" s="47" t="s">
        <v>68</v>
      </c>
      <c r="Y31" s="47" t="s">
        <v>233</v>
      </c>
      <c r="Z31" s="47" t="s">
        <v>409</v>
      </c>
      <c r="AA31" s="47"/>
      <c r="AB31" s="47" t="s">
        <v>197</v>
      </c>
      <c r="AC31" s="47" t="s">
        <v>73</v>
      </c>
      <c r="AD31" s="47" t="s">
        <v>74</v>
      </c>
      <c r="AE31" s="49">
        <v>45494</v>
      </c>
      <c r="AF31" s="47" t="s">
        <v>75</v>
      </c>
      <c r="AG31" s="47"/>
      <c r="AH31" s="47" t="s">
        <v>2277</v>
      </c>
      <c r="AI31" s="47" t="s">
        <v>76</v>
      </c>
      <c r="AJ31" s="47" t="s">
        <v>277</v>
      </c>
      <c r="AK31" s="47" t="s">
        <v>59</v>
      </c>
      <c r="AL31" s="47" t="s">
        <v>59</v>
      </c>
      <c r="AM31" s="47" t="s">
        <v>99</v>
      </c>
      <c r="AN31" s="47" t="s">
        <v>80</v>
      </c>
      <c r="AO31" s="47"/>
      <c r="AP31" s="47"/>
      <c r="AQ31" s="47" t="s">
        <v>81</v>
      </c>
      <c r="AR31" s="47"/>
      <c r="AS31" s="47" t="s">
        <v>82</v>
      </c>
      <c r="AT31" s="47" t="s">
        <v>76</v>
      </c>
      <c r="AU31" s="47" t="s">
        <v>83</v>
      </c>
      <c r="AV31" s="47" t="s">
        <v>184</v>
      </c>
      <c r="AW31" s="47" t="s">
        <v>277</v>
      </c>
      <c r="AX31" s="47" t="s">
        <v>279</v>
      </c>
      <c r="AY31" s="49">
        <v>44546</v>
      </c>
      <c r="AZ31" s="47" t="s">
        <v>80</v>
      </c>
      <c r="BA31" s="47"/>
      <c r="BB31" s="47" t="s">
        <v>2359</v>
      </c>
      <c r="BC31" s="47" t="s">
        <v>2542</v>
      </c>
      <c r="BD31" s="47">
        <v>523948800</v>
      </c>
      <c r="BE31" s="50">
        <v>4769</v>
      </c>
      <c r="BF31" s="53">
        <v>943000</v>
      </c>
    </row>
    <row r="32" spans="1:58" s="51" customFormat="1" ht="23.4" hidden="1" x14ac:dyDescent="0.25">
      <c r="A32" s="46">
        <v>31</v>
      </c>
      <c r="B32" s="47">
        <v>1956</v>
      </c>
      <c r="C32" s="47">
        <v>1634852</v>
      </c>
      <c r="D32" s="47" t="s">
        <v>410</v>
      </c>
      <c r="E32" s="47" t="s">
        <v>53</v>
      </c>
      <c r="F32" s="47" t="s">
        <v>411</v>
      </c>
      <c r="G32" s="47" t="str">
        <f>CONCATENATE(TRIM(الجدول2[[#This Row],[الاسم الأول]])," ",TRIM(الجدول2[[#This Row],[اسم الأب]])," ",TRIM(الجدول2[[#This Row],[الكنية]]))</f>
        <v>جراح ابراهيم سليمان</v>
      </c>
      <c r="H32" s="47" t="s">
        <v>412</v>
      </c>
      <c r="I32" s="48" t="s">
        <v>413</v>
      </c>
      <c r="J32" s="47" t="s">
        <v>58</v>
      </c>
      <c r="K32" s="47" t="s">
        <v>59</v>
      </c>
      <c r="L32" s="47" t="s">
        <v>78</v>
      </c>
      <c r="M32" s="47" t="s">
        <v>414</v>
      </c>
      <c r="N32" s="47" t="s">
        <v>415</v>
      </c>
      <c r="O32" s="49">
        <v>29427</v>
      </c>
      <c r="P32" s="47" t="s">
        <v>416</v>
      </c>
      <c r="Q32" s="47" t="s">
        <v>63</v>
      </c>
      <c r="R32" s="48" t="s">
        <v>417</v>
      </c>
      <c r="S32" s="47" t="s">
        <v>418</v>
      </c>
      <c r="T32" s="47"/>
      <c r="U32" s="47">
        <v>0</v>
      </c>
      <c r="V32" s="47" t="s">
        <v>66</v>
      </c>
      <c r="W32" s="47" t="s">
        <v>67</v>
      </c>
      <c r="X32" s="47" t="s">
        <v>68</v>
      </c>
      <c r="Y32" s="47" t="s">
        <v>246</v>
      </c>
      <c r="Z32" s="47" t="s">
        <v>419</v>
      </c>
      <c r="AA32" s="47" t="s">
        <v>420</v>
      </c>
      <c r="AB32" s="47" t="s">
        <v>421</v>
      </c>
      <c r="AC32" s="47" t="s">
        <v>73</v>
      </c>
      <c r="AD32" s="47" t="s">
        <v>74</v>
      </c>
      <c r="AE32" s="49">
        <v>41294</v>
      </c>
      <c r="AF32" s="47" t="s">
        <v>123</v>
      </c>
      <c r="AG32" s="47"/>
      <c r="AH32" s="47" t="s">
        <v>124</v>
      </c>
      <c r="AI32" s="47" t="s">
        <v>182</v>
      </c>
      <c r="AJ32" s="47" t="s">
        <v>422</v>
      </c>
      <c r="AK32" s="47" t="s">
        <v>59</v>
      </c>
      <c r="AL32" s="47" t="s">
        <v>78</v>
      </c>
      <c r="AM32" s="47" t="s">
        <v>158</v>
      </c>
      <c r="AN32" s="47" t="s">
        <v>83</v>
      </c>
      <c r="AO32" s="47" t="s">
        <v>423</v>
      </c>
      <c r="AP32" s="47" t="s">
        <v>424</v>
      </c>
      <c r="AQ32" s="47" t="s">
        <v>81</v>
      </c>
      <c r="AR32" s="47"/>
      <c r="AS32" s="47" t="s">
        <v>368</v>
      </c>
      <c r="AT32" s="47" t="s">
        <v>182</v>
      </c>
      <c r="AU32" s="47" t="s">
        <v>83</v>
      </c>
      <c r="AV32" s="47" t="s">
        <v>425</v>
      </c>
      <c r="AW32" s="47" t="s">
        <v>422</v>
      </c>
      <c r="AX32" s="47" t="s">
        <v>426</v>
      </c>
      <c r="AY32" s="49">
        <v>37774</v>
      </c>
      <c r="AZ32" s="47" t="s">
        <v>80</v>
      </c>
      <c r="BA32" s="47"/>
      <c r="BB32" s="47" t="s">
        <v>2359</v>
      </c>
      <c r="BC32" s="47" t="s">
        <v>2542</v>
      </c>
      <c r="BD32" s="47">
        <v>523888168</v>
      </c>
      <c r="BE32" s="50">
        <v>4409</v>
      </c>
      <c r="BF32" s="53">
        <v>1243000</v>
      </c>
    </row>
    <row r="33" spans="1:58" s="51" customFormat="1" ht="23.4" hidden="1" x14ac:dyDescent="0.25">
      <c r="A33" s="46">
        <v>32</v>
      </c>
      <c r="B33" s="47">
        <v>2064</v>
      </c>
      <c r="C33" s="47"/>
      <c r="D33" s="47" t="s">
        <v>427</v>
      </c>
      <c r="E33" s="47" t="s">
        <v>428</v>
      </c>
      <c r="F33" s="47" t="s">
        <v>175</v>
      </c>
      <c r="G33" s="47" t="str">
        <f>CONCATENATE(TRIM(الجدول2[[#This Row],[الاسم الأول]])," ",TRIM(الجدول2[[#This Row],[اسم الأب]])," ",TRIM(الجدول2[[#This Row],[الكنية]]))</f>
        <v>جميله بهجت اسماعيل</v>
      </c>
      <c r="H33" s="47" t="s">
        <v>429</v>
      </c>
      <c r="I33" s="48" t="s">
        <v>430</v>
      </c>
      <c r="J33" s="47" t="s">
        <v>58</v>
      </c>
      <c r="K33" s="47" t="s">
        <v>59</v>
      </c>
      <c r="L33" s="47" t="s">
        <v>105</v>
      </c>
      <c r="M33" s="47" t="s">
        <v>106</v>
      </c>
      <c r="N33" s="47" t="s">
        <v>431</v>
      </c>
      <c r="O33" s="49">
        <v>32278</v>
      </c>
      <c r="P33" s="47" t="s">
        <v>432</v>
      </c>
      <c r="Q33" s="47" t="s">
        <v>179</v>
      </c>
      <c r="R33" s="48"/>
      <c r="S33" s="47" t="s">
        <v>109</v>
      </c>
      <c r="T33" s="47"/>
      <c r="U33" s="47">
        <v>2</v>
      </c>
      <c r="V33" s="47" t="s">
        <v>66</v>
      </c>
      <c r="W33" s="47" t="s">
        <v>67</v>
      </c>
      <c r="X33" s="47" t="s">
        <v>68</v>
      </c>
      <c r="Y33" s="47" t="s">
        <v>137</v>
      </c>
      <c r="Z33" s="47"/>
      <c r="AA33" s="47"/>
      <c r="AB33" s="47" t="s">
        <v>289</v>
      </c>
      <c r="AC33" s="47" t="s">
        <v>73</v>
      </c>
      <c r="AD33" s="47" t="s">
        <v>74</v>
      </c>
      <c r="AE33" s="49">
        <v>41294</v>
      </c>
      <c r="AF33" s="47" t="s">
        <v>123</v>
      </c>
      <c r="AG33" s="47"/>
      <c r="AH33" s="47" t="s">
        <v>124</v>
      </c>
      <c r="AI33" s="47" t="s">
        <v>125</v>
      </c>
      <c r="AJ33" s="47"/>
      <c r="AK33" s="47" t="s">
        <v>59</v>
      </c>
      <c r="AL33" s="47" t="s">
        <v>105</v>
      </c>
      <c r="AM33" s="47" t="s">
        <v>158</v>
      </c>
      <c r="AN33" s="47" t="s">
        <v>80</v>
      </c>
      <c r="AO33" s="47"/>
      <c r="AP33" s="47"/>
      <c r="AQ33" s="47" t="s">
        <v>81</v>
      </c>
      <c r="AR33" s="47"/>
      <c r="AS33" s="47" t="s">
        <v>82</v>
      </c>
      <c r="AT33" s="47" t="s">
        <v>327</v>
      </c>
      <c r="AU33" s="47" t="s">
        <v>83</v>
      </c>
      <c r="AV33" s="47" t="s">
        <v>184</v>
      </c>
      <c r="AW33" s="47" t="s">
        <v>433</v>
      </c>
      <c r="AX33" s="47" t="s">
        <v>434</v>
      </c>
      <c r="AY33" s="49">
        <v>41318</v>
      </c>
      <c r="AZ33" s="47" t="s">
        <v>80</v>
      </c>
      <c r="BA33" s="47" t="s">
        <v>435</v>
      </c>
      <c r="BB33" s="47" t="s">
        <v>2358</v>
      </c>
      <c r="BC33" s="47" t="s">
        <v>2542</v>
      </c>
      <c r="BD33" s="47">
        <v>526104418</v>
      </c>
      <c r="BE33" s="50">
        <v>11126</v>
      </c>
      <c r="BF33" s="53">
        <v>1243000</v>
      </c>
    </row>
    <row r="34" spans="1:58" s="51" customFormat="1" ht="23.4" hidden="1" x14ac:dyDescent="0.25">
      <c r="A34" s="46">
        <v>33</v>
      </c>
      <c r="B34" s="47">
        <v>2065</v>
      </c>
      <c r="C34" s="47"/>
      <c r="D34" s="47" t="s">
        <v>436</v>
      </c>
      <c r="E34" s="47" t="s">
        <v>437</v>
      </c>
      <c r="F34" s="47" t="s">
        <v>438</v>
      </c>
      <c r="G34" s="47" t="str">
        <f>CONCATENATE(TRIM(الجدول2[[#This Row],[الاسم الأول]])," ",TRIM(الجدول2[[#This Row],[اسم الأب]])," ",TRIM(الجدول2[[#This Row],[الكنية]]))</f>
        <v>جنان عمر الشيخ</v>
      </c>
      <c r="H34" s="47" t="s">
        <v>439</v>
      </c>
      <c r="I34" s="48" t="s">
        <v>440</v>
      </c>
      <c r="J34" s="47" t="s">
        <v>58</v>
      </c>
      <c r="K34" s="47" t="s">
        <v>59</v>
      </c>
      <c r="L34" s="47" t="s">
        <v>59</v>
      </c>
      <c r="M34" s="47" t="s">
        <v>60</v>
      </c>
      <c r="N34" s="47" t="s">
        <v>59</v>
      </c>
      <c r="O34" s="49">
        <v>30730</v>
      </c>
      <c r="P34" s="47" t="s">
        <v>441</v>
      </c>
      <c r="Q34" s="47" t="s">
        <v>179</v>
      </c>
      <c r="R34" s="48" t="s">
        <v>442</v>
      </c>
      <c r="S34" s="47" t="s">
        <v>109</v>
      </c>
      <c r="T34" s="47"/>
      <c r="U34" s="47">
        <v>2</v>
      </c>
      <c r="V34" s="47" t="s">
        <v>66</v>
      </c>
      <c r="W34" s="47" t="s">
        <v>67</v>
      </c>
      <c r="X34" s="47" t="s">
        <v>68</v>
      </c>
      <c r="Y34" s="47" t="s">
        <v>443</v>
      </c>
      <c r="Z34" s="47"/>
      <c r="AA34" s="47"/>
      <c r="AB34" s="47" t="s">
        <v>444</v>
      </c>
      <c r="AC34" s="47" t="s">
        <v>73</v>
      </c>
      <c r="AD34" s="47" t="s">
        <v>74</v>
      </c>
      <c r="AE34" s="49">
        <v>40860</v>
      </c>
      <c r="AF34" s="47" t="s">
        <v>123</v>
      </c>
      <c r="AG34" s="47"/>
      <c r="AH34" s="47" t="s">
        <v>124</v>
      </c>
      <c r="AI34" s="47" t="s">
        <v>182</v>
      </c>
      <c r="AJ34" s="47" t="s">
        <v>445</v>
      </c>
      <c r="AK34" s="47" t="s">
        <v>59</v>
      </c>
      <c r="AL34" s="47" t="s">
        <v>59</v>
      </c>
      <c r="AM34" s="47" t="s">
        <v>99</v>
      </c>
      <c r="AN34" s="47" t="s">
        <v>80</v>
      </c>
      <c r="AO34" s="47"/>
      <c r="AP34" s="47"/>
      <c r="AQ34" s="47" t="s">
        <v>81</v>
      </c>
      <c r="AR34" s="47"/>
      <c r="AS34" s="47" t="s">
        <v>446</v>
      </c>
      <c r="AT34" s="47" t="s">
        <v>182</v>
      </c>
      <c r="AU34" s="47" t="s">
        <v>83</v>
      </c>
      <c r="AV34" s="47" t="s">
        <v>425</v>
      </c>
      <c r="AW34" s="47" t="s">
        <v>182</v>
      </c>
      <c r="AX34" s="47" t="s">
        <v>445</v>
      </c>
      <c r="AY34" s="49">
        <v>38026</v>
      </c>
      <c r="AZ34" s="47" t="s">
        <v>80</v>
      </c>
      <c r="BA34" s="47"/>
      <c r="BB34" s="47" t="s">
        <v>2359</v>
      </c>
      <c r="BC34" s="47" t="s">
        <v>2542</v>
      </c>
      <c r="BD34" s="47">
        <v>526080524</v>
      </c>
      <c r="BE34" s="50">
        <v>10684</v>
      </c>
      <c r="BF34" s="53">
        <v>1243000</v>
      </c>
    </row>
    <row r="35" spans="1:58" s="51" customFormat="1" ht="23.4" hidden="1" x14ac:dyDescent="0.25">
      <c r="A35" s="46">
        <v>34</v>
      </c>
      <c r="B35" s="47">
        <v>2066</v>
      </c>
      <c r="C35" s="47"/>
      <c r="D35" s="47" t="s">
        <v>436</v>
      </c>
      <c r="E35" s="47" t="s">
        <v>447</v>
      </c>
      <c r="F35" s="47" t="s">
        <v>448</v>
      </c>
      <c r="G35" s="47" t="str">
        <f>CONCATENATE(TRIM(الجدول2[[#This Row],[الاسم الأول]])," ",TRIM(الجدول2[[#This Row],[اسم الأب]])," ",TRIM(الجدول2[[#This Row],[الكنية]]))</f>
        <v>جنان منير نبهان</v>
      </c>
      <c r="H35" s="47" t="s">
        <v>449</v>
      </c>
      <c r="I35" s="48" t="s">
        <v>450</v>
      </c>
      <c r="J35" s="47" t="s">
        <v>58</v>
      </c>
      <c r="K35" s="47" t="s">
        <v>59</v>
      </c>
      <c r="L35" s="47" t="s">
        <v>59</v>
      </c>
      <c r="M35" s="47" t="s">
        <v>60</v>
      </c>
      <c r="N35" s="47" t="s">
        <v>59</v>
      </c>
      <c r="O35" s="49">
        <v>32334</v>
      </c>
      <c r="P35" s="47" t="s">
        <v>451</v>
      </c>
      <c r="Q35" s="47" t="s">
        <v>179</v>
      </c>
      <c r="R35" s="48" t="s">
        <v>452</v>
      </c>
      <c r="S35" s="47" t="s">
        <v>109</v>
      </c>
      <c r="T35" s="47"/>
      <c r="U35" s="47">
        <v>2</v>
      </c>
      <c r="V35" s="47" t="s">
        <v>66</v>
      </c>
      <c r="W35" s="47" t="s">
        <v>67</v>
      </c>
      <c r="X35" s="47" t="s">
        <v>68</v>
      </c>
      <c r="Y35" s="47" t="s">
        <v>137</v>
      </c>
      <c r="Z35" s="47"/>
      <c r="AA35" s="47"/>
      <c r="AB35" s="47" t="s">
        <v>289</v>
      </c>
      <c r="AC35" s="47" t="s">
        <v>73</v>
      </c>
      <c r="AD35" s="47" t="s">
        <v>74</v>
      </c>
      <c r="AE35" s="49">
        <v>41294</v>
      </c>
      <c r="AF35" s="47" t="s">
        <v>123</v>
      </c>
      <c r="AG35" s="47"/>
      <c r="AH35" s="47" t="s">
        <v>124</v>
      </c>
      <c r="AI35" s="47" t="s">
        <v>125</v>
      </c>
      <c r="AJ35" s="47"/>
      <c r="AK35" s="47" t="s">
        <v>59</v>
      </c>
      <c r="AL35" s="47" t="s">
        <v>59</v>
      </c>
      <c r="AM35" s="47" t="s">
        <v>99</v>
      </c>
      <c r="AN35" s="47" t="s">
        <v>80</v>
      </c>
      <c r="AO35" s="47"/>
      <c r="AP35" s="47"/>
      <c r="AQ35" s="47" t="s">
        <v>81</v>
      </c>
      <c r="AR35" s="47"/>
      <c r="AS35" s="47" t="s">
        <v>173</v>
      </c>
      <c r="AT35" s="47" t="s">
        <v>327</v>
      </c>
      <c r="AU35" s="47" t="s">
        <v>83</v>
      </c>
      <c r="AV35" s="47" t="s">
        <v>184</v>
      </c>
      <c r="AW35" s="47" t="s">
        <v>453</v>
      </c>
      <c r="AX35" s="47" t="s">
        <v>454</v>
      </c>
      <c r="AY35" s="49">
        <v>40386</v>
      </c>
      <c r="AZ35" s="47" t="s">
        <v>83</v>
      </c>
      <c r="BA35" s="47" t="s">
        <v>455</v>
      </c>
      <c r="BB35" s="47" t="s">
        <v>2358</v>
      </c>
      <c r="BC35" s="47" t="s">
        <v>2542</v>
      </c>
      <c r="BD35" s="47">
        <v>526068834</v>
      </c>
      <c r="BE35" s="50">
        <v>10462</v>
      </c>
      <c r="BF35" s="53">
        <v>1243000</v>
      </c>
    </row>
    <row r="36" spans="1:58" s="51" customFormat="1" ht="23.4" hidden="1" x14ac:dyDescent="0.25">
      <c r="A36" s="46">
        <v>35</v>
      </c>
      <c r="B36" s="47">
        <v>2082</v>
      </c>
      <c r="C36" s="47">
        <v>775321</v>
      </c>
      <c r="D36" s="47" t="s">
        <v>456</v>
      </c>
      <c r="E36" s="47" t="s">
        <v>369</v>
      </c>
      <c r="F36" s="47" t="s">
        <v>457</v>
      </c>
      <c r="G36" s="47" t="str">
        <f>CONCATENATE(TRIM(الجدول2[[#This Row],[الاسم الأول]])," ",TRIM(الجدول2[[#This Row],[اسم الأب]])," ",TRIM(الجدول2[[#This Row],[الكنية]]))</f>
        <v>جهاد عبدالكريم قميره</v>
      </c>
      <c r="H36" s="47" t="s">
        <v>458</v>
      </c>
      <c r="I36" s="48" t="s">
        <v>459</v>
      </c>
      <c r="J36" s="47" t="s">
        <v>58</v>
      </c>
      <c r="K36" s="47" t="s">
        <v>59</v>
      </c>
      <c r="L36" s="47" t="s">
        <v>59</v>
      </c>
      <c r="M36" s="47" t="s">
        <v>60</v>
      </c>
      <c r="N36" s="47" t="s">
        <v>78</v>
      </c>
      <c r="O36" s="49">
        <v>26056</v>
      </c>
      <c r="P36" s="47" t="s">
        <v>460</v>
      </c>
      <c r="Q36" s="47" t="s">
        <v>63</v>
      </c>
      <c r="R36" s="48" t="s">
        <v>461</v>
      </c>
      <c r="S36" s="47" t="s">
        <v>109</v>
      </c>
      <c r="T36" s="47">
        <v>1</v>
      </c>
      <c r="U36" s="47">
        <v>2</v>
      </c>
      <c r="V36" s="47" t="s">
        <v>66</v>
      </c>
      <c r="W36" s="47" t="s">
        <v>67</v>
      </c>
      <c r="X36" s="47" t="s">
        <v>68</v>
      </c>
      <c r="Y36" s="47" t="s">
        <v>246</v>
      </c>
      <c r="Z36" s="47"/>
      <c r="AA36" s="47"/>
      <c r="AB36" s="47" t="s">
        <v>462</v>
      </c>
      <c r="AC36" s="47" t="s">
        <v>73</v>
      </c>
      <c r="AD36" s="47" t="s">
        <v>74</v>
      </c>
      <c r="AE36" s="49">
        <v>35399</v>
      </c>
      <c r="AF36" s="47" t="s">
        <v>123</v>
      </c>
      <c r="AG36" s="47"/>
      <c r="AH36" s="47" t="s">
        <v>2277</v>
      </c>
      <c r="AI36" s="47" t="s">
        <v>327</v>
      </c>
      <c r="AJ36" s="47" t="s">
        <v>463</v>
      </c>
      <c r="AK36" s="47" t="s">
        <v>59</v>
      </c>
      <c r="AL36" s="47" t="s">
        <v>59</v>
      </c>
      <c r="AM36" s="47" t="s">
        <v>99</v>
      </c>
      <c r="AN36" s="47" t="s">
        <v>83</v>
      </c>
      <c r="AO36" s="47" t="s">
        <v>464</v>
      </c>
      <c r="AP36" s="47" t="s">
        <v>342</v>
      </c>
      <c r="AQ36" s="47" t="s">
        <v>81</v>
      </c>
      <c r="AR36" s="47"/>
      <c r="AS36" s="47" t="s">
        <v>173</v>
      </c>
      <c r="AT36" s="47" t="s">
        <v>327</v>
      </c>
      <c r="AU36" s="47" t="s">
        <v>83</v>
      </c>
      <c r="AV36" s="47" t="s">
        <v>61</v>
      </c>
      <c r="AW36" s="47" t="s">
        <v>433</v>
      </c>
      <c r="AX36" s="47" t="s">
        <v>401</v>
      </c>
      <c r="AY36" s="49">
        <v>33817</v>
      </c>
      <c r="AZ36" s="47" t="s">
        <v>80</v>
      </c>
      <c r="BA36" s="47"/>
      <c r="BB36" s="47" t="s">
        <v>2359</v>
      </c>
      <c r="BC36" s="47" t="s">
        <v>2542</v>
      </c>
      <c r="BD36" s="47">
        <v>526124137</v>
      </c>
      <c r="BE36" s="50">
        <v>11331</v>
      </c>
      <c r="BF36" s="53">
        <v>1409000</v>
      </c>
    </row>
    <row r="37" spans="1:58" s="51" customFormat="1" ht="23.4" hidden="1" x14ac:dyDescent="0.25">
      <c r="A37" s="46">
        <v>36</v>
      </c>
      <c r="B37" s="47">
        <v>2121</v>
      </c>
      <c r="C37" s="47"/>
      <c r="D37" s="47" t="s">
        <v>465</v>
      </c>
      <c r="E37" s="47" t="s">
        <v>86</v>
      </c>
      <c r="F37" s="47" t="s">
        <v>466</v>
      </c>
      <c r="G37" s="47" t="str">
        <f>CONCATENATE(TRIM(الجدول2[[#This Row],[الاسم الأول]])," ",TRIM(الجدول2[[#This Row],[اسم الأب]])," ",TRIM(الجدول2[[#This Row],[الكنية]]))</f>
        <v>جومانا احمد عمران</v>
      </c>
      <c r="H37" s="47" t="s">
        <v>467</v>
      </c>
      <c r="I37" s="48" t="s">
        <v>468</v>
      </c>
      <c r="J37" s="47" t="s">
        <v>58</v>
      </c>
      <c r="K37" s="47" t="s">
        <v>59</v>
      </c>
      <c r="L37" s="47" t="s">
        <v>90</v>
      </c>
      <c r="M37" s="47" t="s">
        <v>298</v>
      </c>
      <c r="N37" s="47" t="s">
        <v>469</v>
      </c>
      <c r="O37" s="49">
        <v>31234</v>
      </c>
      <c r="P37" s="47" t="s">
        <v>470</v>
      </c>
      <c r="Q37" s="47" t="s">
        <v>179</v>
      </c>
      <c r="R37" s="48" t="s">
        <v>471</v>
      </c>
      <c r="S37" s="47" t="s">
        <v>65</v>
      </c>
      <c r="T37" s="47"/>
      <c r="U37" s="47"/>
      <c r="V37" s="47" t="s">
        <v>66</v>
      </c>
      <c r="W37" s="47" t="s">
        <v>67</v>
      </c>
      <c r="X37" s="47" t="s">
        <v>68</v>
      </c>
      <c r="Y37" s="47" t="s">
        <v>94</v>
      </c>
      <c r="Z37" s="47" t="s">
        <v>221</v>
      </c>
      <c r="AA37" s="47" t="s">
        <v>472</v>
      </c>
      <c r="AB37" s="47" t="s">
        <v>473</v>
      </c>
      <c r="AC37" s="47" t="s">
        <v>73</v>
      </c>
      <c r="AD37" s="47" t="s">
        <v>74</v>
      </c>
      <c r="AE37" s="49">
        <v>41304</v>
      </c>
      <c r="AF37" s="47" t="s">
        <v>123</v>
      </c>
      <c r="AG37" s="47"/>
      <c r="AH37" s="47" t="s">
        <v>124</v>
      </c>
      <c r="AI37" s="47" t="s">
        <v>125</v>
      </c>
      <c r="AJ37" s="47"/>
      <c r="AK37" s="47" t="s">
        <v>59</v>
      </c>
      <c r="AL37" s="47" t="s">
        <v>90</v>
      </c>
      <c r="AM37" s="47" t="s">
        <v>99</v>
      </c>
      <c r="AN37" s="47" t="s">
        <v>80</v>
      </c>
      <c r="AO37" s="47"/>
      <c r="AP37" s="47"/>
      <c r="AQ37" s="47" t="s">
        <v>81</v>
      </c>
      <c r="AR37" s="47"/>
      <c r="AS37" s="47" t="s">
        <v>142</v>
      </c>
      <c r="AT37" s="47" t="s">
        <v>128</v>
      </c>
      <c r="AU37" s="47" t="s">
        <v>83</v>
      </c>
      <c r="AV37" s="47"/>
      <c r="AW37" s="47"/>
      <c r="AX37" s="47" t="s">
        <v>80</v>
      </c>
      <c r="AY37" s="49">
        <v>38557</v>
      </c>
      <c r="AZ37" s="47" t="s">
        <v>80</v>
      </c>
      <c r="BA37" s="47"/>
      <c r="BB37" s="47" t="s">
        <v>2359</v>
      </c>
      <c r="BC37" s="47" t="s">
        <v>2542</v>
      </c>
      <c r="BD37" s="47">
        <v>523946995</v>
      </c>
      <c r="BE37" s="50">
        <v>4760</v>
      </c>
      <c r="BF37" s="53">
        <v>1243000</v>
      </c>
    </row>
    <row r="38" spans="1:58" s="51" customFormat="1" ht="23.4" hidden="1" x14ac:dyDescent="0.25">
      <c r="A38" s="46">
        <v>37</v>
      </c>
      <c r="B38" s="47">
        <v>2191</v>
      </c>
      <c r="C38" s="47">
        <v>1639599</v>
      </c>
      <c r="D38" s="47" t="s">
        <v>474</v>
      </c>
      <c r="E38" s="47" t="s">
        <v>475</v>
      </c>
      <c r="F38" s="47" t="s">
        <v>476</v>
      </c>
      <c r="G38" s="47" t="str">
        <f>CONCATENATE(TRIM(الجدول2[[#This Row],[الاسم الأول]])," ",TRIM(الجدول2[[#This Row],[اسم الأب]])," ",TRIM(الجدول2[[#This Row],[الكنية]]))</f>
        <v>حسام جابر عمار</v>
      </c>
      <c r="H38" s="47" t="s">
        <v>477</v>
      </c>
      <c r="I38" s="48" t="s">
        <v>478</v>
      </c>
      <c r="J38" s="47" t="s">
        <v>58</v>
      </c>
      <c r="K38" s="47" t="s">
        <v>59</v>
      </c>
      <c r="L38" s="47" t="s">
        <v>59</v>
      </c>
      <c r="M38" s="47" t="s">
        <v>60</v>
      </c>
      <c r="N38" s="47" t="s">
        <v>59</v>
      </c>
      <c r="O38" s="49">
        <v>31529</v>
      </c>
      <c r="P38" s="47" t="s">
        <v>479</v>
      </c>
      <c r="Q38" s="47" t="s">
        <v>63</v>
      </c>
      <c r="R38" s="48" t="s">
        <v>480</v>
      </c>
      <c r="S38" s="47" t="s">
        <v>65</v>
      </c>
      <c r="T38" s="47"/>
      <c r="U38" s="47"/>
      <c r="V38" s="47" t="s">
        <v>66</v>
      </c>
      <c r="W38" s="47" t="s">
        <v>67</v>
      </c>
      <c r="X38" s="47" t="s">
        <v>68</v>
      </c>
      <c r="Y38" s="47" t="s">
        <v>246</v>
      </c>
      <c r="Z38" s="47" t="s">
        <v>247</v>
      </c>
      <c r="AA38" s="47"/>
      <c r="AB38" s="47" t="s">
        <v>481</v>
      </c>
      <c r="AC38" s="47" t="s">
        <v>73</v>
      </c>
      <c r="AD38" s="47" t="s">
        <v>74</v>
      </c>
      <c r="AE38" s="49">
        <v>41275</v>
      </c>
      <c r="AF38" s="47" t="s">
        <v>123</v>
      </c>
      <c r="AG38" s="47"/>
      <c r="AH38" s="47" t="s">
        <v>2277</v>
      </c>
      <c r="AI38" s="47" t="s">
        <v>327</v>
      </c>
      <c r="AJ38" s="47" t="s">
        <v>482</v>
      </c>
      <c r="AK38" s="47" t="s">
        <v>59</v>
      </c>
      <c r="AL38" s="47" t="s">
        <v>59</v>
      </c>
      <c r="AM38" s="47" t="s">
        <v>79</v>
      </c>
      <c r="AN38" s="47" t="s">
        <v>80</v>
      </c>
      <c r="AO38" s="47"/>
      <c r="AP38" s="47"/>
      <c r="AQ38" s="47" t="s">
        <v>81</v>
      </c>
      <c r="AR38" s="47"/>
      <c r="AS38" s="47" t="s">
        <v>446</v>
      </c>
      <c r="AT38" s="47" t="s">
        <v>327</v>
      </c>
      <c r="AU38" s="47" t="s">
        <v>80</v>
      </c>
      <c r="AV38" s="47" t="s">
        <v>59</v>
      </c>
      <c r="AW38" s="47" t="s">
        <v>483</v>
      </c>
      <c r="AX38" s="47" t="s">
        <v>484</v>
      </c>
      <c r="AY38" s="49">
        <v>45536</v>
      </c>
      <c r="AZ38" s="47" t="s">
        <v>80</v>
      </c>
      <c r="BA38" s="47"/>
      <c r="BB38" s="47" t="s">
        <v>2359</v>
      </c>
      <c r="BC38" s="47" t="s">
        <v>2542</v>
      </c>
      <c r="BD38" s="47">
        <v>526127664</v>
      </c>
      <c r="BE38" s="50">
        <v>11358</v>
      </c>
      <c r="BF38" s="53">
        <v>1243000</v>
      </c>
    </row>
    <row r="39" spans="1:58" s="51" customFormat="1" ht="23.4" hidden="1" x14ac:dyDescent="0.25">
      <c r="A39" s="46">
        <v>38</v>
      </c>
      <c r="B39" s="47">
        <v>2205</v>
      </c>
      <c r="C39" s="47"/>
      <c r="D39" s="47" t="s">
        <v>474</v>
      </c>
      <c r="E39" s="47" t="s">
        <v>485</v>
      </c>
      <c r="F39" s="47" t="s">
        <v>228</v>
      </c>
      <c r="G39" s="47" t="str">
        <f>CONCATENATE(TRIM(الجدول2[[#This Row],[الاسم الأول]])," ",TRIM(الجدول2[[#This Row],[اسم الأب]])," ",TRIM(الجدول2[[#This Row],[الكنية]]))</f>
        <v>حسام عقل محمود</v>
      </c>
      <c r="H39" s="47" t="s">
        <v>486</v>
      </c>
      <c r="I39" s="48" t="s">
        <v>487</v>
      </c>
      <c r="J39" s="47" t="s">
        <v>58</v>
      </c>
      <c r="K39" s="47" t="s">
        <v>59</v>
      </c>
      <c r="L39" s="47" t="s">
        <v>105</v>
      </c>
      <c r="M39" s="47" t="s">
        <v>106</v>
      </c>
      <c r="N39" s="47" t="s">
        <v>488</v>
      </c>
      <c r="O39" s="49">
        <v>28902</v>
      </c>
      <c r="P39" s="47" t="s">
        <v>489</v>
      </c>
      <c r="Q39" s="47" t="s">
        <v>63</v>
      </c>
      <c r="R39" s="48" t="s">
        <v>490</v>
      </c>
      <c r="S39" s="47" t="s">
        <v>109</v>
      </c>
      <c r="T39" s="47">
        <v>1</v>
      </c>
      <c r="U39" s="47">
        <v>2</v>
      </c>
      <c r="V39" s="47" t="s">
        <v>66</v>
      </c>
      <c r="W39" s="47" t="s">
        <v>67</v>
      </c>
      <c r="X39" s="47" t="s">
        <v>68</v>
      </c>
      <c r="Y39" s="47" t="s">
        <v>137</v>
      </c>
      <c r="Z39" s="47"/>
      <c r="AA39" s="47"/>
      <c r="AB39" s="47" t="s">
        <v>491</v>
      </c>
      <c r="AC39" s="47" t="s">
        <v>73</v>
      </c>
      <c r="AD39" s="47" t="s">
        <v>74</v>
      </c>
      <c r="AE39" s="49">
        <v>41294</v>
      </c>
      <c r="AF39" s="47" t="s">
        <v>123</v>
      </c>
      <c r="AG39" s="47"/>
      <c r="AH39" s="47" t="s">
        <v>124</v>
      </c>
      <c r="AI39" s="47" t="s">
        <v>125</v>
      </c>
      <c r="AJ39" s="47"/>
      <c r="AK39" s="47" t="s">
        <v>59</v>
      </c>
      <c r="AL39" s="47" t="s">
        <v>105</v>
      </c>
      <c r="AM39" s="47" t="s">
        <v>99</v>
      </c>
      <c r="AN39" s="47" t="s">
        <v>83</v>
      </c>
      <c r="AO39" s="47" t="s">
        <v>492</v>
      </c>
      <c r="AP39" s="47" t="s">
        <v>127</v>
      </c>
      <c r="AQ39" s="47" t="s">
        <v>81</v>
      </c>
      <c r="AR39" s="47"/>
      <c r="AS39" s="47" t="s">
        <v>446</v>
      </c>
      <c r="AT39" s="47" t="s">
        <v>182</v>
      </c>
      <c r="AU39" s="47" t="s">
        <v>83</v>
      </c>
      <c r="AV39" s="47" t="s">
        <v>184</v>
      </c>
      <c r="AW39" s="47" t="s">
        <v>182</v>
      </c>
      <c r="AX39" s="47" t="s">
        <v>493</v>
      </c>
      <c r="AY39" s="49">
        <v>36161</v>
      </c>
      <c r="AZ39" s="47" t="s">
        <v>80</v>
      </c>
      <c r="BA39" s="47" t="s">
        <v>494</v>
      </c>
      <c r="BB39" s="47" t="s">
        <v>2358</v>
      </c>
      <c r="BC39" s="47" t="s">
        <v>2542</v>
      </c>
      <c r="BD39" s="47">
        <v>526120046</v>
      </c>
      <c r="BE39" s="50">
        <v>11300</v>
      </c>
      <c r="BF39" s="53">
        <v>1243000</v>
      </c>
    </row>
    <row r="40" spans="1:58" s="51" customFormat="1" ht="23.4" hidden="1" x14ac:dyDescent="0.25">
      <c r="A40" s="46">
        <v>39</v>
      </c>
      <c r="B40" s="47">
        <v>2231</v>
      </c>
      <c r="C40" s="47">
        <v>2000627</v>
      </c>
      <c r="D40" s="47" t="s">
        <v>495</v>
      </c>
      <c r="E40" s="47" t="s">
        <v>86</v>
      </c>
      <c r="F40" s="47" t="s">
        <v>496</v>
      </c>
      <c r="G40" s="47" t="str">
        <f>CONCATENATE(TRIM(الجدول2[[#This Row],[الاسم الأول]])," ",TRIM(الجدول2[[#This Row],[اسم الأب]])," ",TRIM(الجدول2[[#This Row],[الكنية]]))</f>
        <v>حسان احمد ديوب</v>
      </c>
      <c r="H40" s="47" t="s">
        <v>497</v>
      </c>
      <c r="I40" s="48" t="s">
        <v>498</v>
      </c>
      <c r="J40" s="47" t="s">
        <v>58</v>
      </c>
      <c r="K40" s="47" t="s">
        <v>59</v>
      </c>
      <c r="L40" s="47" t="s">
        <v>59</v>
      </c>
      <c r="M40" s="47" t="s">
        <v>60</v>
      </c>
      <c r="N40" s="47" t="s">
        <v>61</v>
      </c>
      <c r="O40" s="49">
        <v>33530</v>
      </c>
      <c r="P40" s="47" t="s">
        <v>499</v>
      </c>
      <c r="Q40" s="47" t="s">
        <v>63</v>
      </c>
      <c r="R40" s="48" t="s">
        <v>500</v>
      </c>
      <c r="S40" s="47" t="s">
        <v>65</v>
      </c>
      <c r="T40" s="47"/>
      <c r="U40" s="47"/>
      <c r="V40" s="47" t="s">
        <v>66</v>
      </c>
      <c r="W40" s="47" t="s">
        <v>67</v>
      </c>
      <c r="X40" s="47" t="s">
        <v>68</v>
      </c>
      <c r="Y40" s="47" t="s">
        <v>501</v>
      </c>
      <c r="Z40" s="47" t="s">
        <v>502</v>
      </c>
      <c r="AA40" s="47"/>
      <c r="AB40" s="47" t="s">
        <v>503</v>
      </c>
      <c r="AC40" s="47" t="s">
        <v>73</v>
      </c>
      <c r="AD40" s="47" t="s">
        <v>74</v>
      </c>
      <c r="AE40" s="49">
        <v>42561</v>
      </c>
      <c r="AF40" s="47" t="s">
        <v>75</v>
      </c>
      <c r="AG40" s="47"/>
      <c r="AH40" s="47" t="s">
        <v>2277</v>
      </c>
      <c r="AI40" s="47" t="s">
        <v>76</v>
      </c>
      <c r="AJ40" s="47" t="s">
        <v>504</v>
      </c>
      <c r="AK40" s="47" t="s">
        <v>59</v>
      </c>
      <c r="AL40" s="47" t="s">
        <v>59</v>
      </c>
      <c r="AM40" s="47" t="s">
        <v>99</v>
      </c>
      <c r="AN40" s="47" t="s">
        <v>80</v>
      </c>
      <c r="AO40" s="47"/>
      <c r="AP40" s="47"/>
      <c r="AQ40" s="47" t="s">
        <v>81</v>
      </c>
      <c r="AR40" s="47"/>
      <c r="AS40" s="47" t="s">
        <v>82</v>
      </c>
      <c r="AT40" s="47" t="s">
        <v>76</v>
      </c>
      <c r="AU40" s="47" t="s">
        <v>83</v>
      </c>
      <c r="AV40" s="47" t="s">
        <v>184</v>
      </c>
      <c r="AW40" s="47" t="s">
        <v>504</v>
      </c>
      <c r="AX40" s="47" t="s">
        <v>505</v>
      </c>
      <c r="AY40" s="49">
        <v>41844</v>
      </c>
      <c r="AZ40" s="47" t="s">
        <v>80</v>
      </c>
      <c r="BA40" s="47"/>
      <c r="BB40" s="47" t="s">
        <v>2359</v>
      </c>
      <c r="BC40" s="47" t="s">
        <v>2542</v>
      </c>
      <c r="BD40" s="47">
        <v>524048773</v>
      </c>
      <c r="BE40" s="50">
        <v>5657</v>
      </c>
      <c r="BF40" s="53">
        <v>1254291</v>
      </c>
    </row>
    <row r="41" spans="1:58" s="51" customFormat="1" ht="23.4" hidden="1" x14ac:dyDescent="0.25">
      <c r="A41" s="46">
        <v>40</v>
      </c>
      <c r="B41" s="47">
        <v>2252</v>
      </c>
      <c r="C41" s="47"/>
      <c r="D41" s="47" t="s">
        <v>495</v>
      </c>
      <c r="E41" s="47" t="s">
        <v>506</v>
      </c>
      <c r="F41" s="47" t="s">
        <v>507</v>
      </c>
      <c r="G41" s="47" t="str">
        <f>CONCATENATE(TRIM(الجدول2[[#This Row],[الاسم الأول]])," ",TRIM(الجدول2[[#This Row],[اسم الأب]])," ",TRIM(الجدول2[[#This Row],[الكنية]]))</f>
        <v>حسان عيسى خليل</v>
      </c>
      <c r="H41" s="47" t="s">
        <v>508</v>
      </c>
      <c r="I41" s="48" t="s">
        <v>509</v>
      </c>
      <c r="J41" s="47" t="s">
        <v>58</v>
      </c>
      <c r="K41" s="47" t="s">
        <v>59</v>
      </c>
      <c r="L41" s="47" t="s">
        <v>59</v>
      </c>
      <c r="M41" s="47" t="s">
        <v>60</v>
      </c>
      <c r="N41" s="47" t="s">
        <v>59</v>
      </c>
      <c r="O41" s="49">
        <v>28491</v>
      </c>
      <c r="P41" s="47" t="s">
        <v>510</v>
      </c>
      <c r="Q41" s="47" t="s">
        <v>63</v>
      </c>
      <c r="R41" s="48" t="s">
        <v>511</v>
      </c>
      <c r="S41" s="47" t="s">
        <v>109</v>
      </c>
      <c r="T41" s="47">
        <v>1</v>
      </c>
      <c r="U41" s="47">
        <v>2</v>
      </c>
      <c r="V41" s="47" t="s">
        <v>66</v>
      </c>
      <c r="W41" s="47" t="s">
        <v>67</v>
      </c>
      <c r="X41" s="47" t="s">
        <v>68</v>
      </c>
      <c r="Y41" s="47" t="s">
        <v>152</v>
      </c>
      <c r="Z41" s="47" t="s">
        <v>512</v>
      </c>
      <c r="AA41" s="47"/>
      <c r="AB41" s="47" t="s">
        <v>513</v>
      </c>
      <c r="AC41" s="47" t="s">
        <v>73</v>
      </c>
      <c r="AD41" s="47" t="s">
        <v>74</v>
      </c>
      <c r="AE41" s="49">
        <v>41295</v>
      </c>
      <c r="AF41" s="47" t="s">
        <v>123</v>
      </c>
      <c r="AG41" s="47"/>
      <c r="AH41" s="47" t="s">
        <v>124</v>
      </c>
      <c r="AI41" s="47" t="s">
        <v>125</v>
      </c>
      <c r="AJ41" s="47"/>
      <c r="AK41" s="47" t="s">
        <v>59</v>
      </c>
      <c r="AL41" s="47" t="s">
        <v>59</v>
      </c>
      <c r="AM41" s="47" t="s">
        <v>79</v>
      </c>
      <c r="AN41" s="47" t="s">
        <v>80</v>
      </c>
      <c r="AO41" s="47"/>
      <c r="AP41" s="47"/>
      <c r="AQ41" s="47" t="s">
        <v>81</v>
      </c>
      <c r="AR41" s="47"/>
      <c r="AS41" s="47" t="s">
        <v>173</v>
      </c>
      <c r="AT41" s="47" t="s">
        <v>327</v>
      </c>
      <c r="AU41" s="47" t="s">
        <v>83</v>
      </c>
      <c r="AV41" s="47" t="s">
        <v>425</v>
      </c>
      <c r="AW41" s="47" t="s">
        <v>514</v>
      </c>
      <c r="AX41" s="47" t="s">
        <v>514</v>
      </c>
      <c r="AY41" s="49">
        <v>39309</v>
      </c>
      <c r="AZ41" s="47" t="s">
        <v>80</v>
      </c>
      <c r="BA41" s="47"/>
      <c r="BB41" s="47" t="s">
        <v>2359</v>
      </c>
      <c r="BC41" s="47" t="s">
        <v>2542</v>
      </c>
      <c r="BD41" s="47">
        <v>523223488</v>
      </c>
      <c r="BE41" s="50">
        <v>3274</v>
      </c>
      <c r="BF41" s="53">
        <v>1243000</v>
      </c>
    </row>
    <row r="42" spans="1:58" s="51" customFormat="1" ht="23.4" hidden="1" x14ac:dyDescent="0.25">
      <c r="A42" s="46">
        <v>41</v>
      </c>
      <c r="B42" s="47">
        <v>2267</v>
      </c>
      <c r="C42" s="47">
        <v>1632687</v>
      </c>
      <c r="D42" s="47" t="s">
        <v>495</v>
      </c>
      <c r="E42" s="47" t="s">
        <v>116</v>
      </c>
      <c r="F42" s="47" t="s">
        <v>515</v>
      </c>
      <c r="G42" s="47" t="str">
        <f>CONCATENATE(TRIM(الجدول2[[#This Row],[الاسم الأول]])," ",TRIM(الجدول2[[#This Row],[اسم الأب]])," ",TRIM(الجدول2[[#This Row],[الكنية]]))</f>
        <v>حسان يوسف حمود</v>
      </c>
      <c r="H42" s="47" t="s">
        <v>516</v>
      </c>
      <c r="I42" s="48" t="s">
        <v>517</v>
      </c>
      <c r="J42" s="47" t="s">
        <v>58</v>
      </c>
      <c r="K42" s="47" t="s">
        <v>59</v>
      </c>
      <c r="L42" s="47" t="s">
        <v>105</v>
      </c>
      <c r="M42" s="47" t="s">
        <v>518</v>
      </c>
      <c r="N42" s="47" t="s">
        <v>519</v>
      </c>
      <c r="O42" s="49">
        <v>30718</v>
      </c>
      <c r="P42" s="47" t="s">
        <v>519</v>
      </c>
      <c r="Q42" s="47" t="s">
        <v>63</v>
      </c>
      <c r="R42" s="48" t="s">
        <v>520</v>
      </c>
      <c r="S42" s="47" t="s">
        <v>109</v>
      </c>
      <c r="T42" s="47">
        <v>1</v>
      </c>
      <c r="U42" s="47">
        <v>3</v>
      </c>
      <c r="V42" s="47" t="s">
        <v>66</v>
      </c>
      <c r="W42" s="47" t="s">
        <v>67</v>
      </c>
      <c r="X42" s="47" t="s">
        <v>68</v>
      </c>
      <c r="Y42" s="47" t="s">
        <v>210</v>
      </c>
      <c r="Z42" s="47" t="s">
        <v>521</v>
      </c>
      <c r="AA42" s="47" t="s">
        <v>522</v>
      </c>
      <c r="AB42" s="47" t="s">
        <v>523</v>
      </c>
      <c r="AC42" s="47" t="s">
        <v>73</v>
      </c>
      <c r="AD42" s="47" t="s">
        <v>74</v>
      </c>
      <c r="AE42" s="49">
        <v>40860</v>
      </c>
      <c r="AF42" s="47" t="s">
        <v>123</v>
      </c>
      <c r="AG42" s="47"/>
      <c r="AH42" s="47" t="s">
        <v>2277</v>
      </c>
      <c r="AI42" s="47" t="s">
        <v>327</v>
      </c>
      <c r="AJ42" s="47" t="s">
        <v>524</v>
      </c>
      <c r="AK42" s="47" t="s">
        <v>59</v>
      </c>
      <c r="AL42" s="47" t="s">
        <v>105</v>
      </c>
      <c r="AM42" s="47" t="s">
        <v>99</v>
      </c>
      <c r="AN42" s="47" t="s">
        <v>83</v>
      </c>
      <c r="AO42" s="47" t="s">
        <v>525</v>
      </c>
      <c r="AP42" s="47" t="s">
        <v>526</v>
      </c>
      <c r="AQ42" s="47" t="s">
        <v>81</v>
      </c>
      <c r="AR42" s="47"/>
      <c r="AS42" s="47" t="s">
        <v>236</v>
      </c>
      <c r="AT42" s="47" t="s">
        <v>327</v>
      </c>
      <c r="AU42" s="47" t="s">
        <v>83</v>
      </c>
      <c r="AV42" s="47" t="s">
        <v>84</v>
      </c>
      <c r="AW42" s="47" t="s">
        <v>483</v>
      </c>
      <c r="AX42" s="47" t="s">
        <v>483</v>
      </c>
      <c r="AY42" s="49">
        <v>39286</v>
      </c>
      <c r="AZ42" s="47" t="s">
        <v>80</v>
      </c>
      <c r="BA42" s="47"/>
      <c r="BB42" s="47" t="s">
        <v>2359</v>
      </c>
      <c r="BC42" s="47" t="s">
        <v>2542</v>
      </c>
      <c r="BD42" s="47">
        <v>523263923</v>
      </c>
      <c r="BE42" s="50">
        <v>3534</v>
      </c>
      <c r="BF42" s="53">
        <v>1354293</v>
      </c>
    </row>
    <row r="43" spans="1:58" s="51" customFormat="1" ht="23.4" hidden="1" x14ac:dyDescent="0.25">
      <c r="A43" s="46">
        <v>42</v>
      </c>
      <c r="B43" s="47">
        <v>44229</v>
      </c>
      <c r="C43" s="47"/>
      <c r="D43" s="47" t="s">
        <v>55</v>
      </c>
      <c r="E43" s="47" t="s">
        <v>86</v>
      </c>
      <c r="F43" s="47" t="s">
        <v>55</v>
      </c>
      <c r="G43" s="47" t="str">
        <f>CONCATENATE(TRIM(الجدول2[[#This Row],[الاسم الأول]])," ",TRIM(الجدول2[[#This Row],[اسم الأب]])," ",TRIM(الجدول2[[#This Row],[الكنية]]))</f>
        <v>حسن احمد حسن</v>
      </c>
      <c r="H43" s="47" t="s">
        <v>527</v>
      </c>
      <c r="I43" s="48">
        <v>10250002531</v>
      </c>
      <c r="J43" s="47" t="s">
        <v>58</v>
      </c>
      <c r="K43" s="47" t="s">
        <v>59</v>
      </c>
      <c r="L43" s="47" t="s">
        <v>90</v>
      </c>
      <c r="M43" s="47" t="s">
        <v>91</v>
      </c>
      <c r="N43" s="47" t="s">
        <v>61</v>
      </c>
      <c r="O43" s="49">
        <v>32228</v>
      </c>
      <c r="P43" s="47" t="s">
        <v>528</v>
      </c>
      <c r="Q43" s="47" t="s">
        <v>63</v>
      </c>
      <c r="R43" s="48"/>
      <c r="S43" s="47" t="s">
        <v>109</v>
      </c>
      <c r="T43" s="47">
        <v>1</v>
      </c>
      <c r="U43" s="47">
        <v>1</v>
      </c>
      <c r="V43" s="47" t="s">
        <v>66</v>
      </c>
      <c r="W43" s="47" t="s">
        <v>67</v>
      </c>
      <c r="X43" s="47" t="s">
        <v>68</v>
      </c>
      <c r="Y43" s="47" t="s">
        <v>137</v>
      </c>
      <c r="Z43" s="47"/>
      <c r="AA43" s="47"/>
      <c r="AB43" s="47" t="s">
        <v>529</v>
      </c>
      <c r="AC43" s="47" t="s">
        <v>73</v>
      </c>
      <c r="AD43" s="47" t="s">
        <v>74</v>
      </c>
      <c r="AE43" s="49">
        <v>41294</v>
      </c>
      <c r="AF43" s="47" t="s">
        <v>123</v>
      </c>
      <c r="AG43" s="47"/>
      <c r="AH43" s="47" t="s">
        <v>124</v>
      </c>
      <c r="AI43" s="47" t="s">
        <v>125</v>
      </c>
      <c r="AJ43" s="47"/>
      <c r="AK43" s="47" t="s">
        <v>59</v>
      </c>
      <c r="AL43" s="47" t="s">
        <v>90</v>
      </c>
      <c r="AM43" s="47" t="s">
        <v>99</v>
      </c>
      <c r="AN43" s="47" t="s">
        <v>80</v>
      </c>
      <c r="AO43" s="47"/>
      <c r="AP43" s="47"/>
      <c r="AQ43" s="47" t="s">
        <v>81</v>
      </c>
      <c r="AR43" s="47"/>
      <c r="AS43" s="47" t="s">
        <v>82</v>
      </c>
      <c r="AT43" s="47" t="s">
        <v>128</v>
      </c>
      <c r="AU43" s="47" t="s">
        <v>83</v>
      </c>
      <c r="AV43" s="47"/>
      <c r="AW43" s="47"/>
      <c r="AX43" s="47" t="s">
        <v>355</v>
      </c>
      <c r="AY43" s="49">
        <v>39448</v>
      </c>
      <c r="AZ43" s="47" t="s">
        <v>80</v>
      </c>
      <c r="BA43" s="47" t="s">
        <v>530</v>
      </c>
      <c r="BB43" s="47" t="s">
        <v>2358</v>
      </c>
      <c r="BC43" s="47" t="s">
        <v>2542</v>
      </c>
      <c r="BD43" s="47">
        <v>526617727</v>
      </c>
      <c r="BE43" s="50">
        <v>14135</v>
      </c>
      <c r="BF43" s="53">
        <v>1243000</v>
      </c>
    </row>
    <row r="44" spans="1:58" s="51" customFormat="1" ht="23.4" hidden="1" x14ac:dyDescent="0.25">
      <c r="A44" s="46">
        <v>43</v>
      </c>
      <c r="B44" s="47">
        <v>2362</v>
      </c>
      <c r="C44" s="47">
        <v>1639591</v>
      </c>
      <c r="D44" s="47" t="s">
        <v>55</v>
      </c>
      <c r="E44" s="47" t="s">
        <v>131</v>
      </c>
      <c r="F44" s="47" t="s">
        <v>131</v>
      </c>
      <c r="G44" s="47" t="str">
        <f>CONCATENATE(TRIM(الجدول2[[#This Row],[الاسم الأول]])," ",TRIM(الجدول2[[#This Row],[اسم الأب]])," ",TRIM(الجدول2[[#This Row],[الكنية]]))</f>
        <v>حسن علي علي</v>
      </c>
      <c r="H44" s="47" t="s">
        <v>531</v>
      </c>
      <c r="I44" s="48" t="s">
        <v>532</v>
      </c>
      <c r="J44" s="47" t="s">
        <v>58</v>
      </c>
      <c r="K44" s="47" t="s">
        <v>59</v>
      </c>
      <c r="L44" s="47" t="s">
        <v>59</v>
      </c>
      <c r="M44" s="47" t="s">
        <v>60</v>
      </c>
      <c r="N44" s="47" t="s">
        <v>59</v>
      </c>
      <c r="O44" s="49">
        <v>32898</v>
      </c>
      <c r="P44" s="47" t="s">
        <v>59</v>
      </c>
      <c r="Q44" s="47" t="s">
        <v>63</v>
      </c>
      <c r="R44" s="48" t="s">
        <v>533</v>
      </c>
      <c r="S44" s="47" t="s">
        <v>109</v>
      </c>
      <c r="T44" s="47">
        <v>1</v>
      </c>
      <c r="U44" s="47">
        <v>2</v>
      </c>
      <c r="V44" s="47" t="s">
        <v>66</v>
      </c>
      <c r="W44" s="47" t="s">
        <v>67</v>
      </c>
      <c r="X44" s="47" t="s">
        <v>68</v>
      </c>
      <c r="Y44" s="47" t="s">
        <v>152</v>
      </c>
      <c r="Z44" s="47" t="s">
        <v>153</v>
      </c>
      <c r="AA44" s="47"/>
      <c r="AB44" s="47" t="s">
        <v>249</v>
      </c>
      <c r="AC44" s="47" t="s">
        <v>155</v>
      </c>
      <c r="AD44" s="47" t="s">
        <v>74</v>
      </c>
      <c r="AE44" s="49">
        <v>45054</v>
      </c>
      <c r="AF44" s="47" t="s">
        <v>156</v>
      </c>
      <c r="AG44" s="47"/>
      <c r="AH44" s="47" t="s">
        <v>157</v>
      </c>
      <c r="AI44" s="47" t="s">
        <v>250</v>
      </c>
      <c r="AJ44" s="47"/>
      <c r="AK44" s="47" t="s">
        <v>59</v>
      </c>
      <c r="AL44" s="47" t="s">
        <v>59</v>
      </c>
      <c r="AM44" s="47" t="s">
        <v>99</v>
      </c>
      <c r="AN44" s="47" t="s">
        <v>80</v>
      </c>
      <c r="AO44" s="47"/>
      <c r="AP44" s="47"/>
      <c r="AQ44" s="47" t="s">
        <v>81</v>
      </c>
      <c r="AR44" s="47"/>
      <c r="AS44" s="47" t="s">
        <v>82</v>
      </c>
      <c r="AT44" s="47" t="s">
        <v>250</v>
      </c>
      <c r="AU44" s="47"/>
      <c r="AV44" s="47"/>
      <c r="AW44" s="47"/>
      <c r="AX44" s="47"/>
      <c r="AY44" s="49"/>
      <c r="AZ44" s="47" t="s">
        <v>80</v>
      </c>
      <c r="BA44" s="47"/>
      <c r="BB44" s="47" t="s">
        <v>2358</v>
      </c>
      <c r="BC44" s="47" t="s">
        <v>2542</v>
      </c>
      <c r="BD44" s="47">
        <v>523251652</v>
      </c>
      <c r="BE44" s="50">
        <v>3470</v>
      </c>
      <c r="BF44" s="53">
        <v>918870</v>
      </c>
    </row>
    <row r="45" spans="1:58" s="51" customFormat="1" ht="23.4" hidden="1" x14ac:dyDescent="0.25">
      <c r="A45" s="46">
        <v>44</v>
      </c>
      <c r="B45" s="47">
        <v>2363</v>
      </c>
      <c r="C45" s="47">
        <v>1634851</v>
      </c>
      <c r="D45" s="47" t="s">
        <v>55</v>
      </c>
      <c r="E45" s="47" t="s">
        <v>131</v>
      </c>
      <c r="F45" s="47" t="s">
        <v>466</v>
      </c>
      <c r="G45" s="47" t="str">
        <f>CONCATENATE(TRIM(الجدول2[[#This Row],[الاسم الأول]])," ",TRIM(الجدول2[[#This Row],[اسم الأب]])," ",TRIM(الجدول2[[#This Row],[الكنية]]))</f>
        <v>حسن علي عمران</v>
      </c>
      <c r="H45" s="47" t="s">
        <v>534</v>
      </c>
      <c r="I45" s="48" t="s">
        <v>535</v>
      </c>
      <c r="J45" s="47" t="s">
        <v>58</v>
      </c>
      <c r="K45" s="47" t="s">
        <v>59</v>
      </c>
      <c r="L45" s="47" t="s">
        <v>164</v>
      </c>
      <c r="M45" s="47" t="s">
        <v>165</v>
      </c>
      <c r="N45" s="47" t="s">
        <v>536</v>
      </c>
      <c r="O45" s="49">
        <v>33090</v>
      </c>
      <c r="P45" s="47" t="s">
        <v>537</v>
      </c>
      <c r="Q45" s="47" t="s">
        <v>63</v>
      </c>
      <c r="R45" s="48" t="s">
        <v>538</v>
      </c>
      <c r="S45" s="47" t="s">
        <v>109</v>
      </c>
      <c r="T45" s="47">
        <v>1</v>
      </c>
      <c r="U45" s="47">
        <v>1</v>
      </c>
      <c r="V45" s="47" t="s">
        <v>66</v>
      </c>
      <c r="W45" s="47" t="s">
        <v>67</v>
      </c>
      <c r="X45" s="47" t="s">
        <v>68</v>
      </c>
      <c r="Y45" s="47" t="s">
        <v>137</v>
      </c>
      <c r="Z45" s="47"/>
      <c r="AA45" s="47"/>
      <c r="AB45" s="47" t="s">
        <v>491</v>
      </c>
      <c r="AC45" s="47" t="s">
        <v>73</v>
      </c>
      <c r="AD45" s="47" t="s">
        <v>74</v>
      </c>
      <c r="AE45" s="49">
        <v>41294</v>
      </c>
      <c r="AF45" s="47" t="s">
        <v>123</v>
      </c>
      <c r="AG45" s="47"/>
      <c r="AH45" s="47" t="s">
        <v>124</v>
      </c>
      <c r="AI45" s="47" t="s">
        <v>182</v>
      </c>
      <c r="AJ45" s="47" t="s">
        <v>539</v>
      </c>
      <c r="AK45" s="47" t="s">
        <v>59</v>
      </c>
      <c r="AL45" s="47" t="s">
        <v>164</v>
      </c>
      <c r="AM45" s="47" t="s">
        <v>99</v>
      </c>
      <c r="AN45" s="47" t="s">
        <v>80</v>
      </c>
      <c r="AO45" s="47"/>
      <c r="AP45" s="47"/>
      <c r="AQ45" s="47" t="s">
        <v>81</v>
      </c>
      <c r="AR45" s="47"/>
      <c r="AS45" s="47" t="s">
        <v>82</v>
      </c>
      <c r="AT45" s="47" t="s">
        <v>182</v>
      </c>
      <c r="AU45" s="47" t="s">
        <v>83</v>
      </c>
      <c r="AV45" s="47" t="s">
        <v>425</v>
      </c>
      <c r="AW45" s="47" t="s">
        <v>540</v>
      </c>
      <c r="AX45" s="47" t="s">
        <v>539</v>
      </c>
      <c r="AY45" s="49">
        <v>40669</v>
      </c>
      <c r="AZ45" s="47" t="s">
        <v>80</v>
      </c>
      <c r="BA45" s="47" t="s">
        <v>541</v>
      </c>
      <c r="BB45" s="47" t="s">
        <v>2358</v>
      </c>
      <c r="BC45" s="47" t="s">
        <v>2542</v>
      </c>
      <c r="BD45" s="47">
        <v>529019633</v>
      </c>
      <c r="BE45" s="50">
        <v>26537</v>
      </c>
      <c r="BF45" s="53">
        <v>1243000</v>
      </c>
    </row>
    <row r="46" spans="1:58" s="51" customFormat="1" ht="23.4" hidden="1" x14ac:dyDescent="0.25">
      <c r="A46" s="46">
        <v>45</v>
      </c>
      <c r="B46" s="47">
        <v>2403</v>
      </c>
      <c r="C46" s="47">
        <v>1357269</v>
      </c>
      <c r="D46" s="47" t="s">
        <v>55</v>
      </c>
      <c r="E46" s="47" t="s">
        <v>228</v>
      </c>
      <c r="F46" s="47" t="s">
        <v>53</v>
      </c>
      <c r="G46" s="47" t="str">
        <f>CONCATENATE(TRIM(الجدول2[[#This Row],[الاسم الأول]])," ",TRIM(الجدول2[[#This Row],[اسم الأب]])," ",TRIM(الجدول2[[#This Row],[الكنية]]))</f>
        <v>حسن محمود ابراهيم</v>
      </c>
      <c r="H46" s="47" t="s">
        <v>542</v>
      </c>
      <c r="I46" s="48" t="s">
        <v>543</v>
      </c>
      <c r="J46" s="47" t="s">
        <v>58</v>
      </c>
      <c r="K46" s="47" t="s">
        <v>59</v>
      </c>
      <c r="L46" s="47" t="s">
        <v>59</v>
      </c>
      <c r="M46" s="47" t="s">
        <v>544</v>
      </c>
      <c r="N46" s="47" t="s">
        <v>545</v>
      </c>
      <c r="O46" s="49">
        <v>24587</v>
      </c>
      <c r="P46" s="47" t="s">
        <v>546</v>
      </c>
      <c r="Q46" s="47" t="s">
        <v>63</v>
      </c>
      <c r="R46" s="48" t="s">
        <v>547</v>
      </c>
      <c r="S46" s="47" t="s">
        <v>109</v>
      </c>
      <c r="T46" s="47">
        <v>1</v>
      </c>
      <c r="U46" s="47">
        <v>3</v>
      </c>
      <c r="V46" s="47" t="s">
        <v>66</v>
      </c>
      <c r="W46" s="47" t="s">
        <v>67</v>
      </c>
      <c r="X46" s="47" t="s">
        <v>68</v>
      </c>
      <c r="Y46" s="47" t="s">
        <v>246</v>
      </c>
      <c r="Z46" s="47" t="s">
        <v>247</v>
      </c>
      <c r="AA46" s="47" t="s">
        <v>248</v>
      </c>
      <c r="AB46" s="47" t="s">
        <v>249</v>
      </c>
      <c r="AC46" s="47" t="s">
        <v>155</v>
      </c>
      <c r="AD46" s="47" t="s">
        <v>74</v>
      </c>
      <c r="AE46" s="49">
        <v>40887</v>
      </c>
      <c r="AF46" s="47" t="s">
        <v>123</v>
      </c>
      <c r="AG46" s="47"/>
      <c r="AH46" s="47" t="s">
        <v>157</v>
      </c>
      <c r="AI46" s="47" t="s">
        <v>250</v>
      </c>
      <c r="AJ46" s="47"/>
      <c r="AK46" s="47" t="s">
        <v>59</v>
      </c>
      <c r="AL46" s="47" t="s">
        <v>59</v>
      </c>
      <c r="AM46" s="47" t="s">
        <v>99</v>
      </c>
      <c r="AN46" s="47" t="s">
        <v>80</v>
      </c>
      <c r="AO46" s="47"/>
      <c r="AP46" s="47"/>
      <c r="AQ46" s="47" t="s">
        <v>81</v>
      </c>
      <c r="AR46" s="47"/>
      <c r="AS46" s="47" t="s">
        <v>82</v>
      </c>
      <c r="AT46" s="47" t="s">
        <v>250</v>
      </c>
      <c r="AU46" s="47"/>
      <c r="AV46" s="47"/>
      <c r="AW46" s="47"/>
      <c r="AX46" s="47"/>
      <c r="AY46" s="49"/>
      <c r="AZ46" s="47" t="s">
        <v>80</v>
      </c>
      <c r="BA46" s="47"/>
      <c r="BB46" s="47" t="s">
        <v>2359</v>
      </c>
      <c r="BC46" s="47" t="s">
        <v>2542</v>
      </c>
      <c r="BD46" s="47">
        <v>526476160</v>
      </c>
      <c r="BE46" s="50">
        <v>12387</v>
      </c>
      <c r="BF46" s="53">
        <v>1136805</v>
      </c>
    </row>
    <row r="47" spans="1:58" s="51" customFormat="1" ht="23.4" hidden="1" x14ac:dyDescent="0.25">
      <c r="A47" s="46">
        <v>46</v>
      </c>
      <c r="B47" s="47">
        <v>2407</v>
      </c>
      <c r="C47" s="47">
        <v>1639575</v>
      </c>
      <c r="D47" s="47" t="s">
        <v>55</v>
      </c>
      <c r="E47" s="47" t="s">
        <v>228</v>
      </c>
      <c r="F47" s="47" t="s">
        <v>548</v>
      </c>
      <c r="G47" s="47" t="str">
        <f>CONCATENATE(TRIM(الجدول2[[#This Row],[الاسم الأول]])," ",TRIM(الجدول2[[#This Row],[اسم الأب]])," ",TRIM(الجدول2[[#This Row],[الكنية]]))</f>
        <v>حسن محمود سلامة</v>
      </c>
      <c r="H47" s="47" t="s">
        <v>549</v>
      </c>
      <c r="I47" s="48" t="s">
        <v>550</v>
      </c>
      <c r="J47" s="47" t="s">
        <v>58</v>
      </c>
      <c r="K47" s="47" t="s">
        <v>59</v>
      </c>
      <c r="L47" s="47" t="s">
        <v>59</v>
      </c>
      <c r="M47" s="47" t="s">
        <v>60</v>
      </c>
      <c r="N47" s="47" t="s">
        <v>551</v>
      </c>
      <c r="O47" s="49">
        <v>31894</v>
      </c>
      <c r="P47" s="47" t="s">
        <v>552</v>
      </c>
      <c r="Q47" s="47" t="s">
        <v>63</v>
      </c>
      <c r="R47" s="48" t="s">
        <v>553</v>
      </c>
      <c r="S47" s="47" t="s">
        <v>65</v>
      </c>
      <c r="T47" s="47"/>
      <c r="U47" s="47"/>
      <c r="V47" s="47" t="s">
        <v>66</v>
      </c>
      <c r="W47" s="47" t="s">
        <v>67</v>
      </c>
      <c r="X47" s="47" t="s">
        <v>68</v>
      </c>
      <c r="Y47" s="47" t="s">
        <v>94</v>
      </c>
      <c r="Z47" s="47" t="s">
        <v>554</v>
      </c>
      <c r="AA47" s="47"/>
      <c r="AB47" s="47" t="s">
        <v>555</v>
      </c>
      <c r="AC47" s="47" t="s">
        <v>155</v>
      </c>
      <c r="AD47" s="47" t="s">
        <v>74</v>
      </c>
      <c r="AE47" s="49">
        <v>44334</v>
      </c>
      <c r="AF47" s="47" t="s">
        <v>123</v>
      </c>
      <c r="AG47" s="47"/>
      <c r="AH47" s="47" t="s">
        <v>2277</v>
      </c>
      <c r="AI47" s="47" t="s">
        <v>327</v>
      </c>
      <c r="AJ47" s="47" t="s">
        <v>556</v>
      </c>
      <c r="AK47" s="47" t="s">
        <v>59</v>
      </c>
      <c r="AL47" s="47" t="s">
        <v>59</v>
      </c>
      <c r="AM47" s="47" t="s">
        <v>99</v>
      </c>
      <c r="AN47" s="47" t="s">
        <v>80</v>
      </c>
      <c r="AO47" s="47"/>
      <c r="AP47" s="47"/>
      <c r="AQ47" s="47" t="s">
        <v>81</v>
      </c>
      <c r="AR47" s="47"/>
      <c r="AS47" s="47" t="s">
        <v>82</v>
      </c>
      <c r="AT47" s="47" t="s">
        <v>327</v>
      </c>
      <c r="AU47" s="47" t="s">
        <v>83</v>
      </c>
      <c r="AV47" s="47" t="s">
        <v>61</v>
      </c>
      <c r="AW47" s="47" t="s">
        <v>557</v>
      </c>
      <c r="AX47" s="47" t="s">
        <v>556</v>
      </c>
      <c r="AY47" s="49">
        <v>40400</v>
      </c>
      <c r="AZ47" s="47" t="s">
        <v>80</v>
      </c>
      <c r="BA47" s="47"/>
      <c r="BB47" s="47" t="s">
        <v>2359</v>
      </c>
      <c r="BC47" s="47" t="s">
        <v>2542</v>
      </c>
      <c r="BD47" s="47">
        <v>536045994</v>
      </c>
      <c r="BE47" s="50">
        <v>32121</v>
      </c>
      <c r="BF47" s="53">
        <v>1110357</v>
      </c>
    </row>
    <row r="48" spans="1:58" s="51" customFormat="1" ht="23.4" hidden="1" x14ac:dyDescent="0.25">
      <c r="A48" s="46">
        <v>47</v>
      </c>
      <c r="B48" s="47">
        <v>2489</v>
      </c>
      <c r="C48" s="47">
        <v>1634078</v>
      </c>
      <c r="D48" s="47" t="s">
        <v>558</v>
      </c>
      <c r="E48" s="47" t="s">
        <v>559</v>
      </c>
      <c r="F48" s="47" t="s">
        <v>81</v>
      </c>
      <c r="G48" s="47" t="str">
        <f>CONCATENATE(TRIM(الجدول2[[#This Row],[الاسم الأول]])," ",TRIM(الجدول2[[#This Row],[اسم الأب]])," ",TRIM(الجدول2[[#This Row],[الكنية]]))</f>
        <v>حسين عدنان سليم</v>
      </c>
      <c r="H48" s="47" t="s">
        <v>560</v>
      </c>
      <c r="I48" s="48" t="s">
        <v>561</v>
      </c>
      <c r="J48" s="47" t="s">
        <v>58</v>
      </c>
      <c r="K48" s="47" t="s">
        <v>59</v>
      </c>
      <c r="L48" s="47" t="s">
        <v>59</v>
      </c>
      <c r="M48" s="47" t="s">
        <v>60</v>
      </c>
      <c r="N48" s="47" t="s">
        <v>562</v>
      </c>
      <c r="O48" s="49">
        <v>35125</v>
      </c>
      <c r="P48" s="47" t="s">
        <v>563</v>
      </c>
      <c r="Q48" s="47" t="s">
        <v>63</v>
      </c>
      <c r="R48" s="48" t="s">
        <v>564</v>
      </c>
      <c r="S48" s="47" t="s">
        <v>65</v>
      </c>
      <c r="T48" s="47"/>
      <c r="U48" s="47"/>
      <c r="V48" s="47" t="s">
        <v>66</v>
      </c>
      <c r="W48" s="47" t="s">
        <v>67</v>
      </c>
      <c r="X48" s="47" t="s">
        <v>68</v>
      </c>
      <c r="Y48" s="54" t="s">
        <v>565</v>
      </c>
      <c r="Z48" s="47"/>
      <c r="AA48" s="47"/>
      <c r="AB48" s="47" t="s">
        <v>72</v>
      </c>
      <c r="AC48" s="47" t="s">
        <v>73</v>
      </c>
      <c r="AD48" s="47" t="s">
        <v>74</v>
      </c>
      <c r="AE48" s="49">
        <v>45522</v>
      </c>
      <c r="AF48" s="47" t="s">
        <v>75</v>
      </c>
      <c r="AG48" s="47"/>
      <c r="AH48" s="47" t="s">
        <v>2277</v>
      </c>
      <c r="AI48" s="47" t="s">
        <v>76</v>
      </c>
      <c r="AJ48" s="47" t="s">
        <v>277</v>
      </c>
      <c r="AK48" s="47" t="s">
        <v>59</v>
      </c>
      <c r="AL48" s="47" t="s">
        <v>105</v>
      </c>
      <c r="AM48" s="47" t="s">
        <v>99</v>
      </c>
      <c r="AN48" s="47" t="s">
        <v>80</v>
      </c>
      <c r="AO48" s="47"/>
      <c r="AP48" s="47"/>
      <c r="AQ48" s="47" t="s">
        <v>81</v>
      </c>
      <c r="AR48" s="47"/>
      <c r="AS48" s="47" t="s">
        <v>82</v>
      </c>
      <c r="AT48" s="47" t="s">
        <v>291</v>
      </c>
      <c r="AU48" s="47" t="s">
        <v>83</v>
      </c>
      <c r="AV48" s="47" t="s">
        <v>425</v>
      </c>
      <c r="AW48" s="47" t="s">
        <v>566</v>
      </c>
      <c r="AX48" s="47" t="s">
        <v>505</v>
      </c>
      <c r="AY48" s="49">
        <v>44053</v>
      </c>
      <c r="AZ48" s="47" t="s">
        <v>80</v>
      </c>
      <c r="BA48" s="47"/>
      <c r="BB48" s="47" t="s">
        <v>2359</v>
      </c>
      <c r="BC48" s="47" t="s">
        <v>2542</v>
      </c>
      <c r="BD48" s="47">
        <v>526092422</v>
      </c>
      <c r="BE48" s="50">
        <v>10921</v>
      </c>
      <c r="BF48" s="53">
        <v>943000</v>
      </c>
    </row>
    <row r="49" spans="1:58" s="51" customFormat="1" ht="23.4" hidden="1" x14ac:dyDescent="0.25">
      <c r="A49" s="46">
        <v>48</v>
      </c>
      <c r="B49" s="47">
        <v>2575</v>
      </c>
      <c r="C49" s="47"/>
      <c r="D49" s="47" t="s">
        <v>567</v>
      </c>
      <c r="E49" s="47" t="s">
        <v>115</v>
      </c>
      <c r="F49" s="47" t="s">
        <v>411</v>
      </c>
      <c r="G49" s="47" t="str">
        <f>CONCATENATE(TRIM(الجدول2[[#This Row],[الاسم الأول]])," ",TRIM(الجدول2[[#This Row],[اسم الأب]])," ",TRIM(الجدول2[[#This Row],[الكنية]]))</f>
        <v>حلا محمد سليمان</v>
      </c>
      <c r="H49" s="47" t="s">
        <v>568</v>
      </c>
      <c r="I49" s="48" t="s">
        <v>569</v>
      </c>
      <c r="J49" s="47" t="s">
        <v>58</v>
      </c>
      <c r="K49" s="47" t="s">
        <v>59</v>
      </c>
      <c r="L49" s="47" t="s">
        <v>78</v>
      </c>
      <c r="M49" s="47" t="s">
        <v>570</v>
      </c>
      <c r="N49" s="47" t="s">
        <v>59</v>
      </c>
      <c r="O49" s="49">
        <v>32460</v>
      </c>
      <c r="P49" s="47" t="s">
        <v>571</v>
      </c>
      <c r="Q49" s="47" t="s">
        <v>179</v>
      </c>
      <c r="R49" s="48" t="s">
        <v>572</v>
      </c>
      <c r="S49" s="47" t="s">
        <v>109</v>
      </c>
      <c r="T49" s="47"/>
      <c r="U49" s="47">
        <v>1</v>
      </c>
      <c r="V49" s="47" t="s">
        <v>66</v>
      </c>
      <c r="W49" s="47" t="s">
        <v>67</v>
      </c>
      <c r="X49" s="47" t="s">
        <v>68</v>
      </c>
      <c r="Y49" s="47" t="s">
        <v>137</v>
      </c>
      <c r="Z49" s="47"/>
      <c r="AA49" s="47"/>
      <c r="AB49" s="47" t="s">
        <v>212</v>
      </c>
      <c r="AC49" s="47" t="s">
        <v>155</v>
      </c>
      <c r="AD49" s="47" t="s">
        <v>74</v>
      </c>
      <c r="AE49" s="49">
        <v>43905</v>
      </c>
      <c r="AF49" s="47" t="s">
        <v>123</v>
      </c>
      <c r="AG49" s="47"/>
      <c r="AH49" s="47" t="s">
        <v>140</v>
      </c>
      <c r="AI49" s="47" t="s">
        <v>143</v>
      </c>
      <c r="AJ49" s="47"/>
      <c r="AK49" s="47" t="s">
        <v>59</v>
      </c>
      <c r="AL49" s="47" t="s">
        <v>78</v>
      </c>
      <c r="AM49" s="47" t="s">
        <v>99</v>
      </c>
      <c r="AN49" s="47" t="s">
        <v>83</v>
      </c>
      <c r="AO49" s="47" t="s">
        <v>573</v>
      </c>
      <c r="AP49" s="47" t="s">
        <v>574</v>
      </c>
      <c r="AQ49" s="47" t="s">
        <v>81</v>
      </c>
      <c r="AR49" s="47"/>
      <c r="AS49" s="47" t="s">
        <v>82</v>
      </c>
      <c r="AT49" s="47" t="s">
        <v>143</v>
      </c>
      <c r="AU49" s="47" t="s">
        <v>83</v>
      </c>
      <c r="AV49" s="47"/>
      <c r="AW49" s="47"/>
      <c r="AX49" s="47"/>
      <c r="AY49" s="49">
        <v>37257</v>
      </c>
      <c r="AZ49" s="47" t="s">
        <v>80</v>
      </c>
      <c r="BA49" s="47" t="s">
        <v>575</v>
      </c>
      <c r="BB49" s="47" t="s">
        <v>2358</v>
      </c>
      <c r="BC49" s="47" t="s">
        <v>2542</v>
      </c>
      <c r="BD49" s="47">
        <v>526589901</v>
      </c>
      <c r="BE49" s="50">
        <v>13806</v>
      </c>
      <c r="BF49" s="53">
        <v>994128</v>
      </c>
    </row>
    <row r="50" spans="1:58" s="51" customFormat="1" ht="23.4" hidden="1" x14ac:dyDescent="0.25">
      <c r="A50" s="46">
        <v>49</v>
      </c>
      <c r="B50" s="47">
        <v>2679</v>
      </c>
      <c r="C50" s="47"/>
      <c r="D50" s="47" t="s">
        <v>576</v>
      </c>
      <c r="E50" s="47" t="s">
        <v>577</v>
      </c>
      <c r="F50" s="47" t="s">
        <v>558</v>
      </c>
      <c r="G50" s="47" t="str">
        <f>CONCATENATE(TRIM(الجدول2[[#This Row],[الاسم الأول]])," ",TRIM(الجدول2[[#This Row],[اسم الأب]])," ",TRIM(الجدول2[[#This Row],[الكنية]]))</f>
        <v>حيان مشهور حسين</v>
      </c>
      <c r="H50" s="47" t="s">
        <v>578</v>
      </c>
      <c r="I50" s="48" t="s">
        <v>579</v>
      </c>
      <c r="J50" s="47" t="s">
        <v>58</v>
      </c>
      <c r="K50" s="47" t="s">
        <v>59</v>
      </c>
      <c r="L50" s="47" t="s">
        <v>59</v>
      </c>
      <c r="M50" s="47" t="s">
        <v>60</v>
      </c>
      <c r="N50" s="47" t="s">
        <v>59</v>
      </c>
      <c r="O50" s="49">
        <v>31930</v>
      </c>
      <c r="P50" s="47" t="s">
        <v>580</v>
      </c>
      <c r="Q50" s="47" t="s">
        <v>63</v>
      </c>
      <c r="R50" s="48" t="s">
        <v>581</v>
      </c>
      <c r="S50" s="47" t="s">
        <v>65</v>
      </c>
      <c r="T50" s="47"/>
      <c r="U50" s="47"/>
      <c r="V50" s="47" t="s">
        <v>66</v>
      </c>
      <c r="W50" s="47" t="s">
        <v>67</v>
      </c>
      <c r="X50" s="47" t="s">
        <v>68</v>
      </c>
      <c r="Y50" s="47" t="s">
        <v>94</v>
      </c>
      <c r="Z50" s="47" t="s">
        <v>221</v>
      </c>
      <c r="AA50" s="47" t="s">
        <v>582</v>
      </c>
      <c r="AB50" s="47" t="s">
        <v>223</v>
      </c>
      <c r="AC50" s="47" t="s">
        <v>155</v>
      </c>
      <c r="AD50" s="47" t="s">
        <v>74</v>
      </c>
      <c r="AE50" s="49">
        <v>43905</v>
      </c>
      <c r="AF50" s="47" t="s">
        <v>123</v>
      </c>
      <c r="AG50" s="47"/>
      <c r="AH50" s="47" t="s">
        <v>157</v>
      </c>
      <c r="AI50" s="47" t="s">
        <v>143</v>
      </c>
      <c r="AJ50" s="47"/>
      <c r="AK50" s="47" t="s">
        <v>59</v>
      </c>
      <c r="AL50" s="47" t="s">
        <v>59</v>
      </c>
      <c r="AM50" s="47" t="s">
        <v>99</v>
      </c>
      <c r="AN50" s="47" t="s">
        <v>80</v>
      </c>
      <c r="AO50" s="47"/>
      <c r="AP50" s="47"/>
      <c r="AQ50" s="47" t="s">
        <v>81</v>
      </c>
      <c r="AR50" s="47"/>
      <c r="AS50" s="47" t="s">
        <v>446</v>
      </c>
      <c r="AT50" s="47" t="s">
        <v>143</v>
      </c>
      <c r="AU50" s="47" t="s">
        <v>83</v>
      </c>
      <c r="AV50" s="47"/>
      <c r="AW50" s="47"/>
      <c r="AX50" s="47"/>
      <c r="AY50" s="49">
        <v>37464</v>
      </c>
      <c r="AZ50" s="47" t="s">
        <v>80</v>
      </c>
      <c r="BA50" s="47"/>
      <c r="BB50" s="47" t="s">
        <v>2359</v>
      </c>
      <c r="BC50" s="47" t="s">
        <v>2542</v>
      </c>
      <c r="BD50" s="47">
        <v>526079314</v>
      </c>
      <c r="BE50" s="50">
        <v>10660</v>
      </c>
      <c r="BF50" s="53">
        <v>1001181</v>
      </c>
    </row>
    <row r="51" spans="1:58" s="51" customFormat="1" ht="23.4" hidden="1" x14ac:dyDescent="0.25">
      <c r="A51" s="46">
        <v>50</v>
      </c>
      <c r="B51" s="47">
        <v>2685</v>
      </c>
      <c r="C51" s="47"/>
      <c r="D51" s="47" t="s">
        <v>583</v>
      </c>
      <c r="E51" s="47" t="s">
        <v>584</v>
      </c>
      <c r="F51" s="47" t="s">
        <v>411</v>
      </c>
      <c r="G51" s="47" t="str">
        <f>CONCATENATE(TRIM(الجدول2[[#This Row],[الاسم الأول]])," ",TRIM(الجدول2[[#This Row],[اسم الأب]])," ",TRIM(الجدول2[[#This Row],[الكنية]]))</f>
        <v>حيدر جمال سليمان</v>
      </c>
      <c r="H51" s="47" t="s">
        <v>585</v>
      </c>
      <c r="I51" s="48" t="s">
        <v>586</v>
      </c>
      <c r="J51" s="47" t="s">
        <v>58</v>
      </c>
      <c r="K51" s="47" t="s">
        <v>59</v>
      </c>
      <c r="L51" s="47" t="s">
        <v>164</v>
      </c>
      <c r="M51" s="47" t="s">
        <v>165</v>
      </c>
      <c r="N51" s="47" t="s">
        <v>587</v>
      </c>
      <c r="O51" s="49">
        <v>33532</v>
      </c>
      <c r="P51" s="47" t="s">
        <v>588</v>
      </c>
      <c r="Q51" s="47" t="s">
        <v>63</v>
      </c>
      <c r="R51" s="48" t="s">
        <v>589</v>
      </c>
      <c r="S51" s="47" t="s">
        <v>109</v>
      </c>
      <c r="T51" s="47">
        <v>1</v>
      </c>
      <c r="U51" s="47">
        <v>4</v>
      </c>
      <c r="V51" s="47" t="s">
        <v>66</v>
      </c>
      <c r="W51" s="47" t="s">
        <v>67</v>
      </c>
      <c r="X51" s="47" t="s">
        <v>68</v>
      </c>
      <c r="Y51" s="47" t="s">
        <v>94</v>
      </c>
      <c r="Z51" s="47" t="s">
        <v>221</v>
      </c>
      <c r="AA51" s="47"/>
      <c r="AB51" s="47" t="s">
        <v>590</v>
      </c>
      <c r="AC51" s="47" t="s">
        <v>73</v>
      </c>
      <c r="AD51" s="47" t="s">
        <v>74</v>
      </c>
      <c r="AE51" s="49">
        <v>40860</v>
      </c>
      <c r="AF51" s="47" t="s">
        <v>123</v>
      </c>
      <c r="AG51" s="47"/>
      <c r="AH51" s="47" t="s">
        <v>124</v>
      </c>
      <c r="AI51" s="47" t="s">
        <v>182</v>
      </c>
      <c r="AJ51" s="47" t="s">
        <v>591</v>
      </c>
      <c r="AK51" s="47" t="s">
        <v>59</v>
      </c>
      <c r="AL51" s="47" t="s">
        <v>164</v>
      </c>
      <c r="AM51" s="47" t="s">
        <v>79</v>
      </c>
      <c r="AN51" s="47" t="s">
        <v>83</v>
      </c>
      <c r="AO51" s="47" t="s">
        <v>592</v>
      </c>
      <c r="AP51" s="47" t="s">
        <v>593</v>
      </c>
      <c r="AQ51" s="47" t="s">
        <v>81</v>
      </c>
      <c r="AR51" s="47"/>
      <c r="AS51" s="47" t="s">
        <v>82</v>
      </c>
      <c r="AT51" s="47" t="s">
        <v>182</v>
      </c>
      <c r="AU51" s="47" t="s">
        <v>83</v>
      </c>
      <c r="AV51" s="47" t="s">
        <v>199</v>
      </c>
      <c r="AW51" s="47" t="s">
        <v>594</v>
      </c>
      <c r="AX51" s="47" t="s">
        <v>595</v>
      </c>
      <c r="AY51" s="49">
        <v>40779</v>
      </c>
      <c r="AZ51" s="47" t="s">
        <v>80</v>
      </c>
      <c r="BA51" s="47"/>
      <c r="BB51" s="47" t="s">
        <v>2359</v>
      </c>
      <c r="BC51" s="47" t="s">
        <v>2542</v>
      </c>
      <c r="BD51" s="47">
        <v>523893250</v>
      </c>
      <c r="BE51" s="50">
        <v>4421</v>
      </c>
      <c r="BF51" s="53">
        <v>1243000</v>
      </c>
    </row>
    <row r="52" spans="1:58" s="51" customFormat="1" ht="23.4" hidden="1" x14ac:dyDescent="0.25">
      <c r="A52" s="46">
        <v>51</v>
      </c>
      <c r="B52" s="47">
        <v>2952</v>
      </c>
      <c r="C52" s="47">
        <v>1634543</v>
      </c>
      <c r="D52" s="47" t="s">
        <v>596</v>
      </c>
      <c r="E52" s="47" t="s">
        <v>597</v>
      </c>
      <c r="F52" s="47" t="s">
        <v>598</v>
      </c>
      <c r="G52" s="47" t="str">
        <f>CONCATENATE(TRIM(الجدول2[[#This Row],[الاسم الأول]])," ",TRIM(الجدول2[[#This Row],[اسم الأب]])," ",TRIM(الجدول2[[#This Row],[الكنية]]))</f>
        <v>خضر سمير داود</v>
      </c>
      <c r="H52" s="47" t="s">
        <v>599</v>
      </c>
      <c r="I52" s="48" t="s">
        <v>600</v>
      </c>
      <c r="J52" s="47" t="s">
        <v>58</v>
      </c>
      <c r="K52" s="47" t="s">
        <v>59</v>
      </c>
      <c r="L52" s="47" t="s">
        <v>164</v>
      </c>
      <c r="M52" s="47" t="s">
        <v>165</v>
      </c>
      <c r="N52" s="47" t="s">
        <v>601</v>
      </c>
      <c r="O52" s="49">
        <v>35626</v>
      </c>
      <c r="P52" s="47" t="s">
        <v>602</v>
      </c>
      <c r="Q52" s="47" t="s">
        <v>63</v>
      </c>
      <c r="R52" s="48" t="s">
        <v>603</v>
      </c>
      <c r="S52" s="47" t="s">
        <v>65</v>
      </c>
      <c r="T52" s="47"/>
      <c r="U52" s="47"/>
      <c r="V52" s="47" t="s">
        <v>66</v>
      </c>
      <c r="W52" s="47" t="s">
        <v>67</v>
      </c>
      <c r="X52" s="47" t="s">
        <v>68</v>
      </c>
      <c r="Y52" s="47" t="s">
        <v>121</v>
      </c>
      <c r="Z52" s="47"/>
      <c r="AA52" s="47"/>
      <c r="AB52" s="47" t="s">
        <v>72</v>
      </c>
      <c r="AC52" s="47" t="s">
        <v>73</v>
      </c>
      <c r="AD52" s="47" t="s">
        <v>74</v>
      </c>
      <c r="AE52" s="49">
        <v>45522</v>
      </c>
      <c r="AF52" s="47" t="s">
        <v>75</v>
      </c>
      <c r="AG52" s="47"/>
      <c r="AH52" s="47" t="s">
        <v>2277</v>
      </c>
      <c r="AI52" s="47" t="s">
        <v>76</v>
      </c>
      <c r="AJ52" s="47" t="s">
        <v>277</v>
      </c>
      <c r="AK52" s="47" t="s">
        <v>59</v>
      </c>
      <c r="AL52" s="47" t="s">
        <v>164</v>
      </c>
      <c r="AM52" s="47" t="s">
        <v>99</v>
      </c>
      <c r="AN52" s="47" t="s">
        <v>80</v>
      </c>
      <c r="AO52" s="47"/>
      <c r="AP52" s="47"/>
      <c r="AQ52" s="47" t="s">
        <v>81</v>
      </c>
      <c r="AR52" s="47"/>
      <c r="AS52" s="47" t="s">
        <v>173</v>
      </c>
      <c r="AT52" s="47" t="s">
        <v>76</v>
      </c>
      <c r="AU52" s="47" t="s">
        <v>83</v>
      </c>
      <c r="AV52" s="47" t="s">
        <v>184</v>
      </c>
      <c r="AW52" s="47" t="s">
        <v>505</v>
      </c>
      <c r="AX52" s="47" t="s">
        <v>604</v>
      </c>
      <c r="AY52" s="49">
        <v>44515</v>
      </c>
      <c r="AZ52" s="47" t="s">
        <v>80</v>
      </c>
      <c r="BA52" s="47"/>
      <c r="BB52" s="47" t="s">
        <v>2359</v>
      </c>
      <c r="BC52" s="47" t="s">
        <v>2542</v>
      </c>
      <c r="BD52" s="47">
        <v>526017839</v>
      </c>
      <c r="BE52" s="50">
        <v>9096</v>
      </c>
      <c r="BF52" s="53">
        <v>943000</v>
      </c>
    </row>
    <row r="53" spans="1:58" s="51" customFormat="1" ht="23.4" hidden="1" x14ac:dyDescent="0.25">
      <c r="A53" s="46">
        <v>52</v>
      </c>
      <c r="B53" s="47">
        <v>3060</v>
      </c>
      <c r="C53" s="47">
        <v>1634862</v>
      </c>
      <c r="D53" s="47" t="s">
        <v>605</v>
      </c>
      <c r="E53" s="47" t="s">
        <v>115</v>
      </c>
      <c r="F53" s="47" t="s">
        <v>115</v>
      </c>
      <c r="G53" s="47" t="str">
        <f>CONCATENATE(TRIM(الجدول2[[#This Row],[الاسم الأول]])," ",TRIM(الجدول2[[#This Row],[اسم الأب]])," ",TRIM(الجدول2[[#This Row],[الكنية]]))</f>
        <v>خولة محمد محمد</v>
      </c>
      <c r="H53" s="47" t="s">
        <v>606</v>
      </c>
      <c r="I53" s="48" t="s">
        <v>607</v>
      </c>
      <c r="J53" s="47" t="s">
        <v>58</v>
      </c>
      <c r="K53" s="47" t="s">
        <v>59</v>
      </c>
      <c r="L53" s="47" t="s">
        <v>105</v>
      </c>
      <c r="M53" s="47" t="s">
        <v>106</v>
      </c>
      <c r="N53" s="47" t="s">
        <v>608</v>
      </c>
      <c r="O53" s="49">
        <v>29302</v>
      </c>
      <c r="P53" s="47" t="s">
        <v>609</v>
      </c>
      <c r="Q53" s="47" t="s">
        <v>179</v>
      </c>
      <c r="R53" s="48" t="s">
        <v>610</v>
      </c>
      <c r="S53" s="47" t="s">
        <v>109</v>
      </c>
      <c r="T53" s="47"/>
      <c r="U53" s="47">
        <v>4</v>
      </c>
      <c r="V53" s="47" t="s">
        <v>66</v>
      </c>
      <c r="W53" s="47" t="s">
        <v>67</v>
      </c>
      <c r="X53" s="47" t="s">
        <v>68</v>
      </c>
      <c r="Y53" s="47" t="s">
        <v>137</v>
      </c>
      <c r="Z53" s="47"/>
      <c r="AA53" s="47"/>
      <c r="AB53" s="47" t="s">
        <v>289</v>
      </c>
      <c r="AC53" s="47" t="s">
        <v>73</v>
      </c>
      <c r="AD53" s="47" t="s">
        <v>74</v>
      </c>
      <c r="AE53" s="49">
        <v>41294</v>
      </c>
      <c r="AF53" s="47" t="s">
        <v>123</v>
      </c>
      <c r="AG53" s="47"/>
      <c r="AH53" s="47" t="s">
        <v>124</v>
      </c>
      <c r="AI53" s="47" t="s">
        <v>182</v>
      </c>
      <c r="AJ53" s="47" t="s">
        <v>611</v>
      </c>
      <c r="AK53" s="47" t="s">
        <v>59</v>
      </c>
      <c r="AL53" s="47" t="s">
        <v>105</v>
      </c>
      <c r="AM53" s="47" t="s">
        <v>99</v>
      </c>
      <c r="AN53" s="47" t="s">
        <v>83</v>
      </c>
      <c r="AO53" s="47" t="s">
        <v>612</v>
      </c>
      <c r="AP53" s="47" t="s">
        <v>613</v>
      </c>
      <c r="AQ53" s="47" t="s">
        <v>81</v>
      </c>
      <c r="AR53" s="47"/>
      <c r="AS53" s="47" t="s">
        <v>142</v>
      </c>
      <c r="AT53" s="47" t="s">
        <v>182</v>
      </c>
      <c r="AU53" s="47" t="s">
        <v>83</v>
      </c>
      <c r="AV53" s="47" t="s">
        <v>425</v>
      </c>
      <c r="AW53" s="47" t="s">
        <v>182</v>
      </c>
      <c r="AX53" s="47" t="s">
        <v>614</v>
      </c>
      <c r="AY53" s="49">
        <v>36732</v>
      </c>
      <c r="AZ53" s="47" t="s">
        <v>80</v>
      </c>
      <c r="BA53" s="47" t="s">
        <v>615</v>
      </c>
      <c r="BB53" s="47" t="s">
        <v>2358</v>
      </c>
      <c r="BC53" s="47" t="s">
        <v>2542</v>
      </c>
      <c r="BD53" s="47">
        <v>526649424</v>
      </c>
      <c r="BE53" s="50">
        <v>14452</v>
      </c>
      <c r="BF53" s="53">
        <v>1243000</v>
      </c>
    </row>
    <row r="54" spans="1:58" s="51" customFormat="1" ht="23.4" hidden="1" x14ac:dyDescent="0.25">
      <c r="A54" s="46">
        <v>53</v>
      </c>
      <c r="B54" s="47">
        <v>3074</v>
      </c>
      <c r="C54" s="47">
        <v>933018</v>
      </c>
      <c r="D54" s="47" t="s">
        <v>616</v>
      </c>
      <c r="E54" s="47" t="s">
        <v>617</v>
      </c>
      <c r="F54" s="47" t="s">
        <v>618</v>
      </c>
      <c r="G54" s="47" t="str">
        <f>CONCATENATE(TRIM(الجدول2[[#This Row],[الاسم الأول]])," ",TRIM(الجدول2[[#This Row],[اسم الأب]])," ",TRIM(الجدول2[[#This Row],[الكنية]]))</f>
        <v>دارين الياس حنا</v>
      </c>
      <c r="H54" s="47" t="s">
        <v>619</v>
      </c>
      <c r="I54" s="48" t="s">
        <v>620</v>
      </c>
      <c r="J54" s="47" t="s">
        <v>58</v>
      </c>
      <c r="K54" s="47" t="s">
        <v>59</v>
      </c>
      <c r="L54" s="47" t="s">
        <v>164</v>
      </c>
      <c r="M54" s="47" t="s">
        <v>621</v>
      </c>
      <c r="N54" s="47" t="s">
        <v>361</v>
      </c>
      <c r="O54" s="49">
        <v>29683</v>
      </c>
      <c r="P54" s="47" t="s">
        <v>622</v>
      </c>
      <c r="Q54" s="47" t="s">
        <v>179</v>
      </c>
      <c r="R54" s="48"/>
      <c r="S54" s="47" t="s">
        <v>109</v>
      </c>
      <c r="T54" s="47"/>
      <c r="U54" s="47">
        <v>2</v>
      </c>
      <c r="V54" s="47" t="s">
        <v>66</v>
      </c>
      <c r="W54" s="47" t="s">
        <v>67</v>
      </c>
      <c r="X54" s="47" t="s">
        <v>68</v>
      </c>
      <c r="Y54" s="47" t="s">
        <v>137</v>
      </c>
      <c r="Z54" s="47"/>
      <c r="AA54" s="47"/>
      <c r="AB54" s="47" t="s">
        <v>289</v>
      </c>
      <c r="AC54" s="47" t="s">
        <v>73</v>
      </c>
      <c r="AD54" s="47" t="s">
        <v>74</v>
      </c>
      <c r="AE54" s="49">
        <v>37407</v>
      </c>
      <c r="AF54" s="47" t="s">
        <v>123</v>
      </c>
      <c r="AG54" s="47"/>
      <c r="AH54" s="47" t="s">
        <v>2277</v>
      </c>
      <c r="AI54" s="47" t="s">
        <v>327</v>
      </c>
      <c r="AJ54" s="47" t="s">
        <v>623</v>
      </c>
      <c r="AK54" s="47" t="s">
        <v>59</v>
      </c>
      <c r="AL54" s="47" t="s">
        <v>164</v>
      </c>
      <c r="AM54" s="47" t="s">
        <v>99</v>
      </c>
      <c r="AN54" s="47" t="s">
        <v>80</v>
      </c>
      <c r="AO54" s="47"/>
      <c r="AP54" s="47"/>
      <c r="AQ54" s="47" t="s">
        <v>81</v>
      </c>
      <c r="AR54" s="47"/>
      <c r="AS54" s="47"/>
      <c r="AT54" s="47" t="s">
        <v>327</v>
      </c>
      <c r="AU54" s="47" t="s">
        <v>83</v>
      </c>
      <c r="AV54" s="47" t="s">
        <v>361</v>
      </c>
      <c r="AW54" s="47" t="s">
        <v>624</v>
      </c>
      <c r="AX54" s="47" t="s">
        <v>625</v>
      </c>
      <c r="AY54" s="49">
        <v>39264</v>
      </c>
      <c r="AZ54" s="47" t="s">
        <v>80</v>
      </c>
      <c r="BA54" s="47" t="s">
        <v>626</v>
      </c>
      <c r="BB54" s="47" t="s">
        <v>2358</v>
      </c>
      <c r="BC54" s="47" t="s">
        <v>2542</v>
      </c>
      <c r="BD54" s="47">
        <v>528199429</v>
      </c>
      <c r="BE54" s="50">
        <v>23569</v>
      </c>
      <c r="BF54" s="53">
        <v>1409000</v>
      </c>
    </row>
    <row r="55" spans="1:58" s="51" customFormat="1" ht="23.4" hidden="1" x14ac:dyDescent="0.25">
      <c r="A55" s="46">
        <v>54</v>
      </c>
      <c r="B55" s="47">
        <v>3085</v>
      </c>
      <c r="C55" s="47"/>
      <c r="D55" s="47" t="s">
        <v>616</v>
      </c>
      <c r="E55" s="47" t="s">
        <v>228</v>
      </c>
      <c r="F55" s="47" t="s">
        <v>86</v>
      </c>
      <c r="G55" s="47" t="str">
        <f>CONCATENATE(TRIM(الجدول2[[#This Row],[الاسم الأول]])," ",TRIM(الجدول2[[#This Row],[اسم الأب]])," ",TRIM(الجدول2[[#This Row],[الكنية]]))</f>
        <v>دارين محمود احمد</v>
      </c>
      <c r="H55" s="47" t="s">
        <v>627</v>
      </c>
      <c r="I55" s="48" t="s">
        <v>628</v>
      </c>
      <c r="J55" s="47" t="s">
        <v>58</v>
      </c>
      <c r="K55" s="47" t="s">
        <v>59</v>
      </c>
      <c r="L55" s="47" t="s">
        <v>90</v>
      </c>
      <c r="M55" s="47" t="s">
        <v>629</v>
      </c>
      <c r="N55" s="47" t="s">
        <v>630</v>
      </c>
      <c r="O55" s="49">
        <v>32874</v>
      </c>
      <c r="P55" s="47" t="s">
        <v>631</v>
      </c>
      <c r="Q55" s="47" t="s">
        <v>179</v>
      </c>
      <c r="R55" s="48" t="s">
        <v>632</v>
      </c>
      <c r="S55" s="47" t="s">
        <v>418</v>
      </c>
      <c r="T55" s="47"/>
      <c r="U55" s="47">
        <v>2</v>
      </c>
      <c r="V55" s="47" t="s">
        <v>66</v>
      </c>
      <c r="W55" s="47" t="s">
        <v>67</v>
      </c>
      <c r="X55" s="47" t="s">
        <v>68</v>
      </c>
      <c r="Y55" s="47" t="s">
        <v>94</v>
      </c>
      <c r="Z55" s="47" t="s">
        <v>221</v>
      </c>
      <c r="AA55" s="47" t="s">
        <v>633</v>
      </c>
      <c r="AB55" s="47" t="s">
        <v>223</v>
      </c>
      <c r="AC55" s="47" t="s">
        <v>155</v>
      </c>
      <c r="AD55" s="47" t="s">
        <v>74</v>
      </c>
      <c r="AE55" s="49">
        <v>43539</v>
      </c>
      <c r="AF55" s="47" t="s">
        <v>123</v>
      </c>
      <c r="AG55" s="47"/>
      <c r="AH55" s="47" t="s">
        <v>157</v>
      </c>
      <c r="AI55" s="47" t="s">
        <v>143</v>
      </c>
      <c r="AJ55" s="47"/>
      <c r="AK55" s="47" t="s">
        <v>59</v>
      </c>
      <c r="AL55" s="47" t="s">
        <v>59</v>
      </c>
      <c r="AM55" s="47" t="s">
        <v>99</v>
      </c>
      <c r="AN55" s="47" t="s">
        <v>80</v>
      </c>
      <c r="AO55" s="47"/>
      <c r="AP55" s="47"/>
      <c r="AQ55" s="47" t="s">
        <v>81</v>
      </c>
      <c r="AR55" s="47"/>
      <c r="AS55" s="47" t="s">
        <v>173</v>
      </c>
      <c r="AT55" s="47" t="s">
        <v>143</v>
      </c>
      <c r="AU55" s="47" t="s">
        <v>83</v>
      </c>
      <c r="AV55" s="47"/>
      <c r="AW55" s="47"/>
      <c r="AX55" s="47"/>
      <c r="AY55" s="49">
        <v>38560</v>
      </c>
      <c r="AZ55" s="47" t="s">
        <v>80</v>
      </c>
      <c r="BA55" s="47"/>
      <c r="BB55" s="47" t="s">
        <v>2359</v>
      </c>
      <c r="BC55" s="47" t="s">
        <v>2542</v>
      </c>
      <c r="BD55" s="47">
        <v>526057836</v>
      </c>
      <c r="BE55" s="50">
        <v>10238</v>
      </c>
      <c r="BF55" s="53">
        <v>1001181</v>
      </c>
    </row>
    <row r="56" spans="1:58" s="51" customFormat="1" ht="23.4" hidden="1" x14ac:dyDescent="0.25">
      <c r="A56" s="46">
        <v>55</v>
      </c>
      <c r="B56" s="47">
        <v>3133</v>
      </c>
      <c r="C56" s="47"/>
      <c r="D56" s="47" t="s">
        <v>634</v>
      </c>
      <c r="E56" s="47" t="s">
        <v>115</v>
      </c>
      <c r="F56" s="47" t="s">
        <v>635</v>
      </c>
      <c r="G56" s="47" t="str">
        <f>CONCATENATE(TRIM(الجدول2[[#This Row],[الاسم الأول]])," ",TRIM(الجدول2[[#This Row],[اسم الأب]])," ",TRIM(الجدول2[[#This Row],[الكنية]]))</f>
        <v>دولات محمد بتورة</v>
      </c>
      <c r="H56" s="47" t="s">
        <v>636</v>
      </c>
      <c r="I56" s="48" t="s">
        <v>637</v>
      </c>
      <c r="J56" s="47" t="s">
        <v>58</v>
      </c>
      <c r="K56" s="47" t="s">
        <v>59</v>
      </c>
      <c r="L56" s="47" t="s">
        <v>59</v>
      </c>
      <c r="M56" s="47" t="s">
        <v>60</v>
      </c>
      <c r="N56" s="47" t="s">
        <v>638</v>
      </c>
      <c r="O56" s="49">
        <v>28673</v>
      </c>
      <c r="P56" s="47" t="s">
        <v>639</v>
      </c>
      <c r="Q56" s="47" t="s">
        <v>179</v>
      </c>
      <c r="R56" s="48" t="s">
        <v>640</v>
      </c>
      <c r="S56" s="47" t="s">
        <v>65</v>
      </c>
      <c r="T56" s="47"/>
      <c r="U56" s="47"/>
      <c r="V56" s="47" t="s">
        <v>66</v>
      </c>
      <c r="W56" s="47" t="s">
        <v>67</v>
      </c>
      <c r="X56" s="47" t="s">
        <v>68</v>
      </c>
      <c r="Y56" s="47" t="s">
        <v>94</v>
      </c>
      <c r="Z56" s="47" t="s">
        <v>221</v>
      </c>
      <c r="AA56" s="47" t="s">
        <v>641</v>
      </c>
      <c r="AB56" s="47" t="s">
        <v>642</v>
      </c>
      <c r="AC56" s="47" t="s">
        <v>155</v>
      </c>
      <c r="AD56" s="47" t="s">
        <v>74</v>
      </c>
      <c r="AE56" s="49">
        <v>44027</v>
      </c>
      <c r="AF56" s="47" t="s">
        <v>123</v>
      </c>
      <c r="AG56" s="47"/>
      <c r="AH56" s="47" t="s">
        <v>157</v>
      </c>
      <c r="AI56" s="47" t="s">
        <v>143</v>
      </c>
      <c r="AJ56" s="47"/>
      <c r="AK56" s="47" t="s">
        <v>59</v>
      </c>
      <c r="AL56" s="47" t="s">
        <v>59</v>
      </c>
      <c r="AM56" s="47" t="s">
        <v>99</v>
      </c>
      <c r="AN56" s="47" t="s">
        <v>80</v>
      </c>
      <c r="AO56" s="47"/>
      <c r="AP56" s="47"/>
      <c r="AQ56" s="47" t="s">
        <v>81</v>
      </c>
      <c r="AR56" s="47"/>
      <c r="AS56" s="47" t="s">
        <v>173</v>
      </c>
      <c r="AT56" s="47" t="s">
        <v>143</v>
      </c>
      <c r="AU56" s="47" t="s">
        <v>83</v>
      </c>
      <c r="AV56" s="47"/>
      <c r="AW56" s="47"/>
      <c r="AX56" s="47"/>
      <c r="AY56" s="49">
        <v>36731</v>
      </c>
      <c r="AZ56" s="47" t="s">
        <v>80</v>
      </c>
      <c r="BA56" s="47"/>
      <c r="BB56" s="47" t="s">
        <v>2359</v>
      </c>
      <c r="BC56" s="47" t="s">
        <v>2542</v>
      </c>
      <c r="BD56" s="47">
        <v>524088321</v>
      </c>
      <c r="BE56" s="50">
        <v>6005</v>
      </c>
      <c r="BF56" s="53">
        <v>994128</v>
      </c>
    </row>
    <row r="57" spans="1:58" s="51" customFormat="1" ht="23.4" hidden="1" x14ac:dyDescent="0.25">
      <c r="A57" s="46">
        <v>56</v>
      </c>
      <c r="B57" s="47">
        <v>44378</v>
      </c>
      <c r="C57" s="47">
        <v>1634079</v>
      </c>
      <c r="D57" s="47" t="s">
        <v>643</v>
      </c>
      <c r="E57" s="47" t="s">
        <v>644</v>
      </c>
      <c r="F57" s="47" t="s">
        <v>228</v>
      </c>
      <c r="G57" s="47" t="str">
        <f>CONCATENATE(TRIM(الجدول2[[#This Row],[الاسم الأول]])," ",TRIM(الجدول2[[#This Row],[اسم الأب]])," ",TRIM(الجدول2[[#This Row],[الكنية]]))</f>
        <v>ديالا نسيم محمود</v>
      </c>
      <c r="H57" s="47" t="s">
        <v>645</v>
      </c>
      <c r="I57" s="48">
        <v>10160069067</v>
      </c>
      <c r="J57" s="47" t="s">
        <v>58</v>
      </c>
      <c r="K57" s="47" t="s">
        <v>59</v>
      </c>
      <c r="L57" s="47" t="s">
        <v>59</v>
      </c>
      <c r="M57" s="47" t="s">
        <v>60</v>
      </c>
      <c r="N57" s="47" t="s">
        <v>646</v>
      </c>
      <c r="O57" s="49">
        <v>35994</v>
      </c>
      <c r="P57" s="47" t="s">
        <v>647</v>
      </c>
      <c r="Q57" s="47" t="s">
        <v>179</v>
      </c>
      <c r="R57" s="48" t="s">
        <v>648</v>
      </c>
      <c r="S57" s="47" t="s">
        <v>65</v>
      </c>
      <c r="T57" s="47"/>
      <c r="U57" s="47"/>
      <c r="V57" s="47" t="s">
        <v>66</v>
      </c>
      <c r="W57" s="47" t="s">
        <v>67</v>
      </c>
      <c r="X57" s="47" t="s">
        <v>68</v>
      </c>
      <c r="Y57" s="47" t="s">
        <v>121</v>
      </c>
      <c r="Z57" s="47"/>
      <c r="AA57" s="47"/>
      <c r="AB57" s="47" t="s">
        <v>197</v>
      </c>
      <c r="AC57" s="47" t="s">
        <v>73</v>
      </c>
      <c r="AD57" s="47" t="s">
        <v>74</v>
      </c>
      <c r="AE57" s="49">
        <v>45523</v>
      </c>
      <c r="AF57" s="47" t="s">
        <v>75</v>
      </c>
      <c r="AG57" s="47"/>
      <c r="AH57" s="47" t="s">
        <v>2277</v>
      </c>
      <c r="AI57" s="47" t="s">
        <v>76</v>
      </c>
      <c r="AJ57" s="47" t="s">
        <v>649</v>
      </c>
      <c r="AK57" s="47" t="s">
        <v>59</v>
      </c>
      <c r="AL57" s="47" t="s">
        <v>164</v>
      </c>
      <c r="AM57" s="47" t="s">
        <v>99</v>
      </c>
      <c r="AN57" s="47" t="s">
        <v>80</v>
      </c>
      <c r="AO57" s="47"/>
      <c r="AP57" s="47"/>
      <c r="AQ57" s="47" t="s">
        <v>81</v>
      </c>
      <c r="AR57" s="47"/>
      <c r="AS57" s="47" t="s">
        <v>173</v>
      </c>
      <c r="AT57" s="47" t="s">
        <v>76</v>
      </c>
      <c r="AU57" s="47" t="s">
        <v>83</v>
      </c>
      <c r="AV57" s="47" t="s">
        <v>650</v>
      </c>
      <c r="AW57" s="47" t="s">
        <v>649</v>
      </c>
      <c r="AX57" s="47" t="s">
        <v>651</v>
      </c>
      <c r="AY57" s="49">
        <v>44517</v>
      </c>
      <c r="AZ57" s="47" t="s">
        <v>80</v>
      </c>
      <c r="BA57" s="47"/>
      <c r="BB57" s="47" t="s">
        <v>2359</v>
      </c>
      <c r="BC57" s="47" t="s">
        <v>2542</v>
      </c>
      <c r="BD57" s="47">
        <v>523291858</v>
      </c>
      <c r="BE57" s="50">
        <v>3651</v>
      </c>
      <c r="BF57" s="53">
        <v>943000</v>
      </c>
    </row>
    <row r="58" spans="1:58" s="51" customFormat="1" ht="23.4" hidden="1" x14ac:dyDescent="0.25">
      <c r="A58" s="46">
        <v>57</v>
      </c>
      <c r="B58" s="47">
        <v>3142</v>
      </c>
      <c r="C58" s="47">
        <v>1634544</v>
      </c>
      <c r="D58" s="47" t="s">
        <v>652</v>
      </c>
      <c r="E58" s="47" t="s">
        <v>159</v>
      </c>
      <c r="F58" s="47" t="s">
        <v>653</v>
      </c>
      <c r="G58" s="47" t="str">
        <f>CONCATENATE(TRIM(الجدول2[[#This Row],[الاسم الأول]])," ",TRIM(الجدول2[[#This Row],[اسم الأب]])," ",TRIM(الجدول2[[#This Row],[الكنية]]))</f>
        <v>ديانا اديب نضوة</v>
      </c>
      <c r="H58" s="47" t="s">
        <v>654</v>
      </c>
      <c r="I58" s="48" t="s">
        <v>655</v>
      </c>
      <c r="J58" s="47" t="s">
        <v>58</v>
      </c>
      <c r="K58" s="47" t="s">
        <v>184</v>
      </c>
      <c r="L58" s="47" t="s">
        <v>184</v>
      </c>
      <c r="M58" s="47" t="s">
        <v>656</v>
      </c>
      <c r="N58" s="47" t="s">
        <v>657</v>
      </c>
      <c r="O58" s="49">
        <v>35309</v>
      </c>
      <c r="P58" s="47" t="s">
        <v>658</v>
      </c>
      <c r="Q58" s="47" t="s">
        <v>179</v>
      </c>
      <c r="R58" s="48" t="s">
        <v>659</v>
      </c>
      <c r="S58" s="47" t="s">
        <v>109</v>
      </c>
      <c r="T58" s="47"/>
      <c r="U58" s="47">
        <v>0</v>
      </c>
      <c r="V58" s="47" t="s">
        <v>66</v>
      </c>
      <c r="W58" s="47" t="s">
        <v>67</v>
      </c>
      <c r="X58" s="47" t="s">
        <v>68</v>
      </c>
      <c r="Y58" s="47" t="s">
        <v>94</v>
      </c>
      <c r="Z58" s="47" t="s">
        <v>95</v>
      </c>
      <c r="AA58" s="47" t="s">
        <v>110</v>
      </c>
      <c r="AB58" s="47" t="s">
        <v>660</v>
      </c>
      <c r="AC58" s="47" t="s">
        <v>73</v>
      </c>
      <c r="AD58" s="47" t="s">
        <v>74</v>
      </c>
      <c r="AE58" s="49">
        <v>45522</v>
      </c>
      <c r="AF58" s="47" t="s">
        <v>75</v>
      </c>
      <c r="AG58" s="47"/>
      <c r="AH58" s="47" t="s">
        <v>2277</v>
      </c>
      <c r="AI58" s="47" t="s">
        <v>76</v>
      </c>
      <c r="AJ58" s="47" t="s">
        <v>237</v>
      </c>
      <c r="AK58" s="47" t="s">
        <v>184</v>
      </c>
      <c r="AL58" s="47" t="s">
        <v>184</v>
      </c>
      <c r="AM58" s="47" t="s">
        <v>79</v>
      </c>
      <c r="AN58" s="47" t="s">
        <v>80</v>
      </c>
      <c r="AO58" s="47"/>
      <c r="AP58" s="47"/>
      <c r="AQ58" s="47" t="s">
        <v>81</v>
      </c>
      <c r="AR58" s="47"/>
      <c r="AS58" s="47" t="s">
        <v>82</v>
      </c>
      <c r="AT58" s="47" t="s">
        <v>76</v>
      </c>
      <c r="AU58" s="47" t="s">
        <v>83</v>
      </c>
      <c r="AV58" s="47" t="s">
        <v>84</v>
      </c>
      <c r="AW58" s="47" t="s">
        <v>340</v>
      </c>
      <c r="AX58" s="47" t="s">
        <v>237</v>
      </c>
      <c r="AY58" s="49">
        <v>44572</v>
      </c>
      <c r="AZ58" s="47" t="s">
        <v>80</v>
      </c>
      <c r="BA58" s="47"/>
      <c r="BB58" s="47" t="s">
        <v>2359</v>
      </c>
      <c r="BC58" s="47" t="s">
        <v>2542</v>
      </c>
      <c r="BD58" s="47">
        <v>522381735</v>
      </c>
      <c r="BE58" s="50">
        <v>985</v>
      </c>
      <c r="BF58" s="53">
        <v>943000</v>
      </c>
    </row>
    <row r="59" spans="1:58" s="51" customFormat="1" ht="23.4" hidden="1" x14ac:dyDescent="0.25">
      <c r="A59" s="46">
        <v>58</v>
      </c>
      <c r="B59" s="47"/>
      <c r="C59" s="47"/>
      <c r="D59" s="47" t="s">
        <v>661</v>
      </c>
      <c r="E59" s="47" t="s">
        <v>131</v>
      </c>
      <c r="F59" s="47" t="s">
        <v>411</v>
      </c>
      <c r="G59" s="47" t="str">
        <f>CONCATENATE(TRIM(الجدول2[[#This Row],[الاسم الأول]])," ",TRIM(الجدول2[[#This Row],[اسم الأب]])," ",TRIM(الجدول2[[#This Row],[الكنية]]))</f>
        <v>ديما علي سليمان</v>
      </c>
      <c r="H59" s="47" t="s">
        <v>662</v>
      </c>
      <c r="I59" s="48" t="s">
        <v>663</v>
      </c>
      <c r="J59" s="47" t="s">
        <v>58</v>
      </c>
      <c r="K59" s="47" t="s">
        <v>59</v>
      </c>
      <c r="L59" s="47" t="s">
        <v>90</v>
      </c>
      <c r="M59" s="47" t="s">
        <v>629</v>
      </c>
      <c r="N59" s="47" t="s">
        <v>59</v>
      </c>
      <c r="O59" s="49">
        <v>32957</v>
      </c>
      <c r="P59" s="47" t="s">
        <v>664</v>
      </c>
      <c r="Q59" s="47" t="s">
        <v>665</v>
      </c>
      <c r="R59" s="48" t="s">
        <v>666</v>
      </c>
      <c r="S59" s="47" t="s">
        <v>109</v>
      </c>
      <c r="T59" s="47"/>
      <c r="U59" s="47">
        <v>1</v>
      </c>
      <c r="V59" s="47" t="s">
        <v>667</v>
      </c>
      <c r="W59" s="47" t="s">
        <v>67</v>
      </c>
      <c r="X59" s="47" t="s">
        <v>68</v>
      </c>
      <c r="Y59" s="47" t="s">
        <v>501</v>
      </c>
      <c r="Z59" s="47"/>
      <c r="AA59" s="47"/>
      <c r="AB59" s="47" t="s">
        <v>668</v>
      </c>
      <c r="AC59" s="47" t="s">
        <v>73</v>
      </c>
      <c r="AD59" s="47" t="s">
        <v>74</v>
      </c>
      <c r="AE59" s="49">
        <v>40860</v>
      </c>
      <c r="AF59" s="47" t="s">
        <v>123</v>
      </c>
      <c r="AG59" s="47"/>
      <c r="AH59" s="47" t="s">
        <v>124</v>
      </c>
      <c r="AI59" s="47" t="s">
        <v>182</v>
      </c>
      <c r="AJ59" s="47" t="s">
        <v>669</v>
      </c>
      <c r="AK59" s="47" t="s">
        <v>59</v>
      </c>
      <c r="AL59" s="47" t="s">
        <v>59</v>
      </c>
      <c r="AM59" s="47" t="s">
        <v>99</v>
      </c>
      <c r="AN59" s="47" t="s">
        <v>80</v>
      </c>
      <c r="AO59" s="47"/>
      <c r="AP59" s="47"/>
      <c r="AQ59" s="47" t="s">
        <v>81</v>
      </c>
      <c r="AR59" s="47"/>
      <c r="AS59" s="47" t="s">
        <v>173</v>
      </c>
      <c r="AT59" s="47" t="s">
        <v>291</v>
      </c>
      <c r="AU59" s="47" t="s">
        <v>83</v>
      </c>
      <c r="AV59" s="47" t="s">
        <v>670</v>
      </c>
      <c r="AW59" s="47" t="s">
        <v>671</v>
      </c>
      <c r="AX59" s="47"/>
      <c r="AY59" s="49">
        <v>45901</v>
      </c>
      <c r="AZ59" s="47" t="s">
        <v>80</v>
      </c>
      <c r="BA59" s="47"/>
      <c r="BB59" s="47" t="s">
        <v>2359</v>
      </c>
      <c r="BC59" s="47" t="s">
        <v>2542</v>
      </c>
      <c r="BD59" s="47"/>
      <c r="BE59" s="50"/>
      <c r="BF59" s="53">
        <v>1148373</v>
      </c>
    </row>
    <row r="60" spans="1:58" s="51" customFormat="1" ht="23.4" hidden="1" x14ac:dyDescent="0.25">
      <c r="A60" s="46">
        <v>59</v>
      </c>
      <c r="B60" s="47">
        <v>3155</v>
      </c>
      <c r="C60" s="47">
        <v>1423455</v>
      </c>
      <c r="D60" s="47" t="s">
        <v>661</v>
      </c>
      <c r="E60" s="47" t="s">
        <v>466</v>
      </c>
      <c r="F60" s="47" t="s">
        <v>672</v>
      </c>
      <c r="G60" s="47" t="str">
        <f>CONCATENATE(TRIM(الجدول2[[#This Row],[الاسم الأول]])," ",TRIM(الجدول2[[#This Row],[اسم الأب]])," ",TRIM(الجدول2[[#This Row],[الكنية]]))</f>
        <v>ديما عمران نوح</v>
      </c>
      <c r="H60" s="47" t="s">
        <v>673</v>
      </c>
      <c r="I60" s="48" t="s">
        <v>674</v>
      </c>
      <c r="J60" s="47" t="s">
        <v>58</v>
      </c>
      <c r="K60" s="47" t="s">
        <v>59</v>
      </c>
      <c r="L60" s="47" t="s">
        <v>59</v>
      </c>
      <c r="M60" s="47" t="s">
        <v>60</v>
      </c>
      <c r="N60" s="47" t="s">
        <v>675</v>
      </c>
      <c r="O60" s="49">
        <v>33250</v>
      </c>
      <c r="P60" s="47" t="s">
        <v>676</v>
      </c>
      <c r="Q60" s="47" t="s">
        <v>179</v>
      </c>
      <c r="R60" s="48" t="s">
        <v>677</v>
      </c>
      <c r="S60" s="47" t="s">
        <v>109</v>
      </c>
      <c r="T60" s="47"/>
      <c r="U60" s="47">
        <v>2</v>
      </c>
      <c r="V60" s="47" t="s">
        <v>66</v>
      </c>
      <c r="W60" s="47" t="s">
        <v>67</v>
      </c>
      <c r="X60" s="47" t="s">
        <v>68</v>
      </c>
      <c r="Y60" s="47" t="s">
        <v>443</v>
      </c>
      <c r="Z60" s="47"/>
      <c r="AA60" s="47"/>
      <c r="AB60" s="47" t="s">
        <v>678</v>
      </c>
      <c r="AC60" s="47" t="s">
        <v>73</v>
      </c>
      <c r="AD60" s="47" t="s">
        <v>74</v>
      </c>
      <c r="AE60" s="49">
        <v>42443</v>
      </c>
      <c r="AF60" s="47" t="s">
        <v>75</v>
      </c>
      <c r="AG60" s="47"/>
      <c r="AH60" s="47" t="s">
        <v>2277</v>
      </c>
      <c r="AI60" s="47" t="s">
        <v>76</v>
      </c>
      <c r="AJ60" s="47" t="s">
        <v>679</v>
      </c>
      <c r="AK60" s="47" t="s">
        <v>59</v>
      </c>
      <c r="AL60" s="47" t="s">
        <v>59</v>
      </c>
      <c r="AM60" s="47" t="s">
        <v>99</v>
      </c>
      <c r="AN60" s="47" t="s">
        <v>83</v>
      </c>
      <c r="AO60" s="47" t="s">
        <v>680</v>
      </c>
      <c r="AP60" s="47" t="s">
        <v>342</v>
      </c>
      <c r="AQ60" s="47" t="s">
        <v>81</v>
      </c>
      <c r="AR60" s="47"/>
      <c r="AS60" s="47" t="s">
        <v>173</v>
      </c>
      <c r="AT60" s="47" t="s">
        <v>76</v>
      </c>
      <c r="AU60" s="47" t="s">
        <v>83</v>
      </c>
      <c r="AV60" s="47" t="s">
        <v>199</v>
      </c>
      <c r="AW60" s="47" t="s">
        <v>679</v>
      </c>
      <c r="AX60" s="47" t="s">
        <v>679</v>
      </c>
      <c r="AY60" s="49">
        <v>41832</v>
      </c>
      <c r="AZ60" s="47" t="s">
        <v>80</v>
      </c>
      <c r="BA60" s="47"/>
      <c r="BB60" s="47" t="s">
        <v>2359</v>
      </c>
      <c r="BC60" s="47" t="s">
        <v>2542</v>
      </c>
      <c r="BD60" s="47">
        <v>526073884</v>
      </c>
      <c r="BE60" s="50">
        <v>10556</v>
      </c>
      <c r="BF60" s="53">
        <v>1260990</v>
      </c>
    </row>
    <row r="61" spans="1:58" s="51" customFormat="1" ht="23.4" hidden="1" x14ac:dyDescent="0.25">
      <c r="A61" s="46">
        <v>60</v>
      </c>
      <c r="B61" s="47">
        <v>3158</v>
      </c>
      <c r="C61" s="47">
        <v>1462485</v>
      </c>
      <c r="D61" s="47" t="s">
        <v>661</v>
      </c>
      <c r="E61" s="47" t="s">
        <v>115</v>
      </c>
      <c r="F61" s="47" t="s">
        <v>145</v>
      </c>
      <c r="G61" s="47" t="str">
        <f>CONCATENATE(TRIM(الجدول2[[#This Row],[الاسم الأول]])," ",TRIM(الجدول2[[#This Row],[اسم الأب]])," ",TRIM(الجدول2[[#This Row],[الكنية]]))</f>
        <v>ديما محمد يونس</v>
      </c>
      <c r="H61" s="47" t="s">
        <v>681</v>
      </c>
      <c r="I61" s="48" t="s">
        <v>682</v>
      </c>
      <c r="J61" s="47" t="s">
        <v>58</v>
      </c>
      <c r="K61" s="47" t="s">
        <v>59</v>
      </c>
      <c r="L61" s="47" t="s">
        <v>59</v>
      </c>
      <c r="M61" s="47" t="s">
        <v>60</v>
      </c>
      <c r="N61" s="47" t="s">
        <v>59</v>
      </c>
      <c r="O61" s="49">
        <v>35917</v>
      </c>
      <c r="P61" s="47" t="s">
        <v>683</v>
      </c>
      <c r="Q61" s="47" t="s">
        <v>179</v>
      </c>
      <c r="R61" s="48" t="s">
        <v>684</v>
      </c>
      <c r="S61" s="47" t="s">
        <v>65</v>
      </c>
      <c r="T61" s="47"/>
      <c r="U61" s="47"/>
      <c r="V61" s="47" t="s">
        <v>66</v>
      </c>
      <c r="W61" s="47" t="s">
        <v>67</v>
      </c>
      <c r="X61" s="47" t="s">
        <v>68</v>
      </c>
      <c r="Y61" s="47" t="s">
        <v>501</v>
      </c>
      <c r="Z61" s="47" t="s">
        <v>685</v>
      </c>
      <c r="AA61" s="47"/>
      <c r="AB61" s="47" t="s">
        <v>289</v>
      </c>
      <c r="AC61" s="47" t="s">
        <v>73</v>
      </c>
      <c r="AD61" s="47" t="s">
        <v>74</v>
      </c>
      <c r="AE61" s="49">
        <v>43216</v>
      </c>
      <c r="AF61" s="47" t="s">
        <v>123</v>
      </c>
      <c r="AG61" s="47"/>
      <c r="AH61" s="47" t="s">
        <v>2277</v>
      </c>
      <c r="AI61" s="47" t="s">
        <v>327</v>
      </c>
      <c r="AJ61" s="47" t="s">
        <v>686</v>
      </c>
      <c r="AK61" s="47" t="s">
        <v>59</v>
      </c>
      <c r="AL61" s="47" t="s">
        <v>59</v>
      </c>
      <c r="AM61" s="47" t="s">
        <v>99</v>
      </c>
      <c r="AN61" s="47" t="s">
        <v>80</v>
      </c>
      <c r="AO61" s="47"/>
      <c r="AP61" s="47"/>
      <c r="AQ61" s="47" t="s">
        <v>81</v>
      </c>
      <c r="AR61" s="47"/>
      <c r="AS61" s="47" t="s">
        <v>173</v>
      </c>
      <c r="AT61" s="47" t="s">
        <v>327</v>
      </c>
      <c r="AU61" s="47" t="s">
        <v>83</v>
      </c>
      <c r="AV61" s="47" t="s">
        <v>61</v>
      </c>
      <c r="AW61" s="47" t="s">
        <v>686</v>
      </c>
      <c r="AX61" s="47" t="s">
        <v>686</v>
      </c>
      <c r="AY61" s="49">
        <v>40748</v>
      </c>
      <c r="AZ61" s="47" t="s">
        <v>80</v>
      </c>
      <c r="BA61" s="47"/>
      <c r="BB61" s="47" t="s">
        <v>2359</v>
      </c>
      <c r="BC61" s="47" t="s">
        <v>2542</v>
      </c>
      <c r="BD61" s="47">
        <v>524018960</v>
      </c>
      <c r="BE61" s="50">
        <v>5395</v>
      </c>
      <c r="BF61" s="53">
        <v>1202505</v>
      </c>
    </row>
    <row r="62" spans="1:58" s="51" customFormat="1" ht="23.4" hidden="1" x14ac:dyDescent="0.25">
      <c r="A62" s="46">
        <v>61</v>
      </c>
      <c r="B62" s="47">
        <v>3162</v>
      </c>
      <c r="C62" s="47"/>
      <c r="D62" s="47" t="s">
        <v>687</v>
      </c>
      <c r="E62" s="47" t="s">
        <v>86</v>
      </c>
      <c r="F62" s="47" t="s">
        <v>515</v>
      </c>
      <c r="G62" s="47" t="str">
        <f>CONCATENATE(TRIM(الجدول2[[#This Row],[الاسم الأول]])," ",TRIM(الجدول2[[#This Row],[اسم الأب]])," ",TRIM(الجدول2[[#This Row],[الكنية]]))</f>
        <v>ديمة احمد حمود</v>
      </c>
      <c r="H62" s="47" t="s">
        <v>688</v>
      </c>
      <c r="I62" s="48" t="s">
        <v>689</v>
      </c>
      <c r="J62" s="47" t="s">
        <v>58</v>
      </c>
      <c r="K62" s="47" t="s">
        <v>59</v>
      </c>
      <c r="L62" s="47" t="s">
        <v>59</v>
      </c>
      <c r="M62" s="47" t="s">
        <v>60</v>
      </c>
      <c r="N62" s="47" t="s">
        <v>59</v>
      </c>
      <c r="O62" s="49">
        <v>30286</v>
      </c>
      <c r="P62" s="47" t="s">
        <v>690</v>
      </c>
      <c r="Q62" s="47" t="s">
        <v>179</v>
      </c>
      <c r="R62" s="48" t="s">
        <v>691</v>
      </c>
      <c r="S62" s="47" t="s">
        <v>65</v>
      </c>
      <c r="T62" s="47"/>
      <c r="U62" s="47"/>
      <c r="V62" s="47" t="s">
        <v>66</v>
      </c>
      <c r="W62" s="47" t="s">
        <v>67</v>
      </c>
      <c r="X62" s="47" t="s">
        <v>68</v>
      </c>
      <c r="Y62" s="47" t="s">
        <v>169</v>
      </c>
      <c r="Z62" s="47" t="s">
        <v>170</v>
      </c>
      <c r="AA62" s="47" t="s">
        <v>171</v>
      </c>
      <c r="AB62" s="47" t="s">
        <v>692</v>
      </c>
      <c r="AC62" s="47" t="s">
        <v>73</v>
      </c>
      <c r="AD62" s="47" t="s">
        <v>74</v>
      </c>
      <c r="AE62" s="49">
        <v>39904</v>
      </c>
      <c r="AF62" s="47" t="s">
        <v>139</v>
      </c>
      <c r="AG62" s="47"/>
      <c r="AH62" s="47" t="s">
        <v>157</v>
      </c>
      <c r="AI62" s="47" t="s">
        <v>143</v>
      </c>
      <c r="AJ62" s="47"/>
      <c r="AK62" s="47" t="s">
        <v>59</v>
      </c>
      <c r="AL62" s="47" t="s">
        <v>59</v>
      </c>
      <c r="AM62" s="47" t="s">
        <v>99</v>
      </c>
      <c r="AN62" s="47" t="s">
        <v>80</v>
      </c>
      <c r="AO62" s="47"/>
      <c r="AP62" s="47"/>
      <c r="AQ62" s="47" t="s">
        <v>81</v>
      </c>
      <c r="AR62" s="47"/>
      <c r="AS62" s="47" t="s">
        <v>173</v>
      </c>
      <c r="AT62" s="47" t="s">
        <v>143</v>
      </c>
      <c r="AU62" s="47" t="s">
        <v>83</v>
      </c>
      <c r="AV62" s="47"/>
      <c r="AW62" s="47"/>
      <c r="AX62" s="47"/>
      <c r="AY62" s="49">
        <v>35634</v>
      </c>
      <c r="AZ62" s="47" t="s">
        <v>80</v>
      </c>
      <c r="BA62" s="47"/>
      <c r="BB62" s="47" t="s">
        <v>2359</v>
      </c>
      <c r="BC62" s="47" t="s">
        <v>2542</v>
      </c>
      <c r="BD62" s="47">
        <v>523078616</v>
      </c>
      <c r="BE62" s="50">
        <v>1986</v>
      </c>
      <c r="BF62" s="53">
        <v>1185000</v>
      </c>
    </row>
    <row r="63" spans="1:58" s="51" customFormat="1" ht="23.4" hidden="1" x14ac:dyDescent="0.25">
      <c r="A63" s="46">
        <v>62</v>
      </c>
      <c r="B63" s="47">
        <v>3237</v>
      </c>
      <c r="C63" s="47">
        <v>1634076</v>
      </c>
      <c r="D63" s="47" t="s">
        <v>693</v>
      </c>
      <c r="E63" s="47" t="s">
        <v>694</v>
      </c>
      <c r="F63" s="47" t="s">
        <v>115</v>
      </c>
      <c r="G63" s="47" t="str">
        <f>CONCATENATE(TRIM(الجدول2[[#This Row],[الاسم الأول]])," ",TRIM(الجدول2[[#This Row],[اسم الأب]])," ",TRIM(الجدول2[[#This Row],[الكنية]]))</f>
        <v>رامح عبدالرحمن محمد</v>
      </c>
      <c r="H63" s="47" t="s">
        <v>695</v>
      </c>
      <c r="I63" s="48" t="s">
        <v>696</v>
      </c>
      <c r="J63" s="47" t="s">
        <v>58</v>
      </c>
      <c r="K63" s="47" t="s">
        <v>59</v>
      </c>
      <c r="L63" s="47" t="s">
        <v>141</v>
      </c>
      <c r="M63" s="47" t="s">
        <v>697</v>
      </c>
      <c r="N63" s="47" t="s">
        <v>141</v>
      </c>
      <c r="O63" s="49">
        <v>29952</v>
      </c>
      <c r="P63" s="47" t="s">
        <v>698</v>
      </c>
      <c r="Q63" s="47" t="s">
        <v>63</v>
      </c>
      <c r="R63" s="48" t="s">
        <v>699</v>
      </c>
      <c r="S63" s="47" t="s">
        <v>109</v>
      </c>
      <c r="T63" s="47">
        <v>1</v>
      </c>
      <c r="U63" s="47">
        <v>1</v>
      </c>
      <c r="V63" s="47" t="s">
        <v>66</v>
      </c>
      <c r="W63" s="47" t="s">
        <v>67</v>
      </c>
      <c r="X63" s="47" t="s">
        <v>68</v>
      </c>
      <c r="Y63" s="47" t="s">
        <v>137</v>
      </c>
      <c r="Z63" s="47"/>
      <c r="AA63" s="47"/>
      <c r="AB63" s="47" t="s">
        <v>122</v>
      </c>
      <c r="AC63" s="47" t="s">
        <v>73</v>
      </c>
      <c r="AD63" s="47" t="s">
        <v>74</v>
      </c>
      <c r="AE63" s="49">
        <v>40862</v>
      </c>
      <c r="AF63" s="47" t="s">
        <v>123</v>
      </c>
      <c r="AG63" s="47"/>
      <c r="AH63" s="47" t="s">
        <v>2277</v>
      </c>
      <c r="AI63" s="47" t="s">
        <v>327</v>
      </c>
      <c r="AJ63" s="47" t="s">
        <v>686</v>
      </c>
      <c r="AK63" s="47" t="s">
        <v>59</v>
      </c>
      <c r="AL63" s="47" t="s">
        <v>141</v>
      </c>
      <c r="AM63" s="47" t="s">
        <v>79</v>
      </c>
      <c r="AN63" s="47" t="s">
        <v>83</v>
      </c>
      <c r="AO63" s="47" t="s">
        <v>700</v>
      </c>
      <c r="AP63" s="47" t="s">
        <v>701</v>
      </c>
      <c r="AQ63" s="47" t="s">
        <v>81</v>
      </c>
      <c r="AR63" s="47"/>
      <c r="AS63" s="47" t="s">
        <v>82</v>
      </c>
      <c r="AT63" s="47" t="s">
        <v>327</v>
      </c>
      <c r="AU63" s="47" t="s">
        <v>83</v>
      </c>
      <c r="AV63" s="47" t="s">
        <v>702</v>
      </c>
      <c r="AW63" s="47" t="s">
        <v>686</v>
      </c>
      <c r="AX63" s="47" t="s">
        <v>686</v>
      </c>
      <c r="AY63" s="49">
        <v>40007</v>
      </c>
      <c r="AZ63" s="47" t="s">
        <v>80</v>
      </c>
      <c r="BA63" s="47" t="s">
        <v>703</v>
      </c>
      <c r="BB63" s="47" t="s">
        <v>2358</v>
      </c>
      <c r="BC63" s="47" t="s">
        <v>2542</v>
      </c>
      <c r="BD63" s="47">
        <v>527233398</v>
      </c>
      <c r="BE63" s="50">
        <v>16754</v>
      </c>
      <c r="BF63" s="53">
        <v>1354293</v>
      </c>
    </row>
    <row r="64" spans="1:58" s="51" customFormat="1" ht="23.4" hidden="1" x14ac:dyDescent="0.25">
      <c r="A64" s="46">
        <v>63</v>
      </c>
      <c r="B64" s="47">
        <v>3254</v>
      </c>
      <c r="C64" s="47">
        <v>1632690</v>
      </c>
      <c r="D64" s="47" t="s">
        <v>704</v>
      </c>
      <c r="E64" s="47" t="s">
        <v>86</v>
      </c>
      <c r="F64" s="47" t="s">
        <v>175</v>
      </c>
      <c r="G64" s="47" t="str">
        <f>CONCATENATE(TRIM(الجدول2[[#This Row],[الاسم الأول]])," ",TRIM(الجدول2[[#This Row],[اسم الأب]])," ",TRIM(الجدول2[[#This Row],[الكنية]]))</f>
        <v>رامي احمد اسماعيل</v>
      </c>
      <c r="H64" s="47" t="s">
        <v>705</v>
      </c>
      <c r="I64" s="48" t="s">
        <v>706</v>
      </c>
      <c r="J64" s="47" t="s">
        <v>58</v>
      </c>
      <c r="K64" s="47" t="s">
        <v>59</v>
      </c>
      <c r="L64" s="47" t="s">
        <v>90</v>
      </c>
      <c r="M64" s="47" t="s">
        <v>298</v>
      </c>
      <c r="N64" s="47" t="s">
        <v>707</v>
      </c>
      <c r="O64" s="49">
        <v>29474</v>
      </c>
      <c r="P64" s="47" t="s">
        <v>708</v>
      </c>
      <c r="Q64" s="47" t="s">
        <v>63</v>
      </c>
      <c r="R64" s="48" t="s">
        <v>709</v>
      </c>
      <c r="S64" s="47" t="s">
        <v>65</v>
      </c>
      <c r="T64" s="47"/>
      <c r="U64" s="47"/>
      <c r="V64" s="47" t="s">
        <v>66</v>
      </c>
      <c r="W64" s="47" t="s">
        <v>67</v>
      </c>
      <c r="X64" s="47" t="s">
        <v>68</v>
      </c>
      <c r="Y64" s="47" t="s">
        <v>137</v>
      </c>
      <c r="Z64" s="47"/>
      <c r="AA64" s="47"/>
      <c r="AB64" s="47" t="s">
        <v>710</v>
      </c>
      <c r="AC64" s="47" t="s">
        <v>73</v>
      </c>
      <c r="AD64" s="47" t="s">
        <v>74</v>
      </c>
      <c r="AE64" s="49">
        <v>41294</v>
      </c>
      <c r="AF64" s="47" t="s">
        <v>123</v>
      </c>
      <c r="AG64" s="47"/>
      <c r="AH64" s="47" t="s">
        <v>2277</v>
      </c>
      <c r="AI64" s="47" t="s">
        <v>327</v>
      </c>
      <c r="AJ64" s="47" t="s">
        <v>686</v>
      </c>
      <c r="AK64" s="47" t="s">
        <v>59</v>
      </c>
      <c r="AL64" s="47" t="s">
        <v>90</v>
      </c>
      <c r="AM64" s="47" t="s">
        <v>99</v>
      </c>
      <c r="AN64" s="47" t="s">
        <v>80</v>
      </c>
      <c r="AO64" s="47"/>
      <c r="AP64" s="47"/>
      <c r="AQ64" s="47" t="s">
        <v>81</v>
      </c>
      <c r="AR64" s="47"/>
      <c r="AS64" s="47" t="s">
        <v>446</v>
      </c>
      <c r="AT64" s="47" t="s">
        <v>327</v>
      </c>
      <c r="AU64" s="47" t="s">
        <v>83</v>
      </c>
      <c r="AV64" s="47" t="s">
        <v>61</v>
      </c>
      <c r="AW64" s="47" t="s">
        <v>711</v>
      </c>
      <c r="AX64" s="47" t="s">
        <v>686</v>
      </c>
      <c r="AY64" s="49">
        <v>39264</v>
      </c>
      <c r="AZ64" s="47" t="s">
        <v>80</v>
      </c>
      <c r="BA64" s="47" t="s">
        <v>712</v>
      </c>
      <c r="BB64" s="47" t="s">
        <v>2358</v>
      </c>
      <c r="BC64" s="47" t="s">
        <v>2542</v>
      </c>
      <c r="BD64" s="47">
        <v>528042978</v>
      </c>
      <c r="BE64" s="50">
        <v>21670</v>
      </c>
      <c r="BF64" s="53">
        <v>1322775</v>
      </c>
    </row>
    <row r="65" spans="1:58" s="51" customFormat="1" ht="23.4" hidden="1" x14ac:dyDescent="0.25">
      <c r="A65" s="46">
        <v>64</v>
      </c>
      <c r="B65" s="47">
        <v>3296</v>
      </c>
      <c r="C65" s="47"/>
      <c r="D65" s="47" t="s">
        <v>704</v>
      </c>
      <c r="E65" s="47" t="s">
        <v>116</v>
      </c>
      <c r="F65" s="47" t="s">
        <v>713</v>
      </c>
      <c r="G65" s="47" t="str">
        <f>CONCATENATE(TRIM(الجدول2[[#This Row],[الاسم الأول]])," ",TRIM(الجدول2[[#This Row],[اسم الأب]])," ",TRIM(الجدول2[[#This Row],[الكنية]]))</f>
        <v>رامي يوسف شاليش</v>
      </c>
      <c r="H65" s="47" t="s">
        <v>714</v>
      </c>
      <c r="I65" s="48" t="s">
        <v>715</v>
      </c>
      <c r="J65" s="47" t="s">
        <v>58</v>
      </c>
      <c r="K65" s="47" t="s">
        <v>59</v>
      </c>
      <c r="L65" s="47" t="s">
        <v>59</v>
      </c>
      <c r="M65" s="47" t="s">
        <v>60</v>
      </c>
      <c r="N65" s="47" t="s">
        <v>61</v>
      </c>
      <c r="O65" s="49">
        <v>30416</v>
      </c>
      <c r="P65" s="47" t="s">
        <v>716</v>
      </c>
      <c r="Q65" s="47" t="s">
        <v>63</v>
      </c>
      <c r="R65" s="48" t="s">
        <v>717</v>
      </c>
      <c r="S65" s="47" t="s">
        <v>65</v>
      </c>
      <c r="T65" s="47"/>
      <c r="U65" s="47"/>
      <c r="V65" s="47" t="s">
        <v>66</v>
      </c>
      <c r="W65" s="47" t="s">
        <v>67</v>
      </c>
      <c r="X65" s="47" t="s">
        <v>68</v>
      </c>
      <c r="Y65" s="47" t="s">
        <v>94</v>
      </c>
      <c r="Z65" s="47"/>
      <c r="AA65" s="47"/>
      <c r="AB65" s="47" t="s">
        <v>642</v>
      </c>
      <c r="AC65" s="47" t="s">
        <v>73</v>
      </c>
      <c r="AD65" s="47" t="s">
        <v>74</v>
      </c>
      <c r="AE65" s="49">
        <v>42705</v>
      </c>
      <c r="AF65" s="47" t="s">
        <v>123</v>
      </c>
      <c r="AG65" s="47"/>
      <c r="AH65" s="47" t="s">
        <v>140</v>
      </c>
      <c r="AI65" s="47" t="s">
        <v>250</v>
      </c>
      <c r="AJ65" s="47"/>
      <c r="AK65" s="47" t="s">
        <v>59</v>
      </c>
      <c r="AL65" s="47" t="s">
        <v>59</v>
      </c>
      <c r="AM65" s="47" t="s">
        <v>99</v>
      </c>
      <c r="AN65" s="47" t="s">
        <v>80</v>
      </c>
      <c r="AO65" s="47"/>
      <c r="AP65" s="47"/>
      <c r="AQ65" s="47" t="s">
        <v>81</v>
      </c>
      <c r="AR65" s="47"/>
      <c r="AS65" s="47" t="s">
        <v>173</v>
      </c>
      <c r="AT65" s="47" t="s">
        <v>250</v>
      </c>
      <c r="AU65" s="47"/>
      <c r="AV65" s="47"/>
      <c r="AW65" s="47"/>
      <c r="AX65" s="47"/>
      <c r="AY65" s="49"/>
      <c r="AZ65" s="47" t="s">
        <v>80</v>
      </c>
      <c r="BA65" s="47"/>
      <c r="BB65" s="47" t="s">
        <v>2359</v>
      </c>
      <c r="BC65" s="47" t="s">
        <v>2542</v>
      </c>
      <c r="BD65" s="47">
        <v>523107560</v>
      </c>
      <c r="BE65" s="50">
        <v>2270</v>
      </c>
      <c r="BF65" s="53">
        <v>1098000</v>
      </c>
    </row>
    <row r="66" spans="1:58" s="51" customFormat="1" ht="23.4" hidden="1" x14ac:dyDescent="0.25">
      <c r="A66" s="46">
        <v>65</v>
      </c>
      <c r="B66" s="47">
        <v>3309</v>
      </c>
      <c r="C66" s="47"/>
      <c r="D66" s="47" t="s">
        <v>718</v>
      </c>
      <c r="E66" s="47" t="s">
        <v>719</v>
      </c>
      <c r="F66" s="47" t="s">
        <v>720</v>
      </c>
      <c r="G66" s="47" t="str">
        <f>CONCATENATE(TRIM(الجدول2[[#This Row],[الاسم الأول]])," ",TRIM(الجدول2[[#This Row],[اسم الأب]])," ",TRIM(الجدول2[[#This Row],[الكنية]]))</f>
        <v>رانيا بدر العتيري</v>
      </c>
      <c r="H66" s="47" t="s">
        <v>721</v>
      </c>
      <c r="I66" s="48" t="s">
        <v>722</v>
      </c>
      <c r="J66" s="47" t="s">
        <v>58</v>
      </c>
      <c r="K66" s="47" t="s">
        <v>59</v>
      </c>
      <c r="L66" s="47" t="s">
        <v>59</v>
      </c>
      <c r="M66" s="47" t="s">
        <v>60</v>
      </c>
      <c r="N66" s="47" t="s">
        <v>723</v>
      </c>
      <c r="O66" s="49">
        <v>32622</v>
      </c>
      <c r="P66" s="47" t="s">
        <v>724</v>
      </c>
      <c r="Q66" s="47" t="s">
        <v>179</v>
      </c>
      <c r="R66" s="48" t="s">
        <v>725</v>
      </c>
      <c r="S66" s="47" t="s">
        <v>109</v>
      </c>
      <c r="T66" s="47"/>
      <c r="U66" s="47">
        <v>3</v>
      </c>
      <c r="V66" s="47" t="s">
        <v>66</v>
      </c>
      <c r="W66" s="47" t="s">
        <v>67</v>
      </c>
      <c r="X66" s="47" t="s">
        <v>68</v>
      </c>
      <c r="Y66" s="47" t="s">
        <v>726</v>
      </c>
      <c r="Z66" s="47"/>
      <c r="AA66" s="47"/>
      <c r="AB66" s="47" t="s">
        <v>727</v>
      </c>
      <c r="AC66" s="47" t="s">
        <v>73</v>
      </c>
      <c r="AD66" s="47" t="s">
        <v>74</v>
      </c>
      <c r="AE66" s="49">
        <v>40860</v>
      </c>
      <c r="AF66" s="47" t="s">
        <v>123</v>
      </c>
      <c r="AG66" s="47"/>
      <c r="AH66" s="47" t="s">
        <v>124</v>
      </c>
      <c r="AI66" s="47" t="s">
        <v>182</v>
      </c>
      <c r="AJ66" s="47" t="s">
        <v>728</v>
      </c>
      <c r="AK66" s="47" t="s">
        <v>59</v>
      </c>
      <c r="AL66" s="47" t="s">
        <v>59</v>
      </c>
      <c r="AM66" s="47" t="s">
        <v>99</v>
      </c>
      <c r="AN66" s="47" t="s">
        <v>80</v>
      </c>
      <c r="AO66" s="47"/>
      <c r="AP66" s="47"/>
      <c r="AQ66" s="47" t="s">
        <v>81</v>
      </c>
      <c r="AR66" s="47"/>
      <c r="AS66" s="47" t="s">
        <v>82</v>
      </c>
      <c r="AT66" s="47" t="s">
        <v>182</v>
      </c>
      <c r="AU66" s="47" t="s">
        <v>83</v>
      </c>
      <c r="AV66" s="47" t="s">
        <v>184</v>
      </c>
      <c r="AW66" s="47" t="s">
        <v>728</v>
      </c>
      <c r="AX66" s="47" t="s">
        <v>604</v>
      </c>
      <c r="AY66" s="49">
        <v>40007</v>
      </c>
      <c r="AZ66" s="47" t="s">
        <v>80</v>
      </c>
      <c r="BA66" s="47"/>
      <c r="BB66" s="47" t="s">
        <v>2359</v>
      </c>
      <c r="BC66" s="47" t="s">
        <v>2542</v>
      </c>
      <c r="BD66" s="47">
        <v>524032202</v>
      </c>
      <c r="BE66" s="50">
        <v>5510</v>
      </c>
      <c r="BF66" s="53">
        <v>1243000</v>
      </c>
    </row>
    <row r="67" spans="1:58" s="51" customFormat="1" ht="23.4" hidden="1" x14ac:dyDescent="0.25">
      <c r="A67" s="46">
        <v>66</v>
      </c>
      <c r="B67" s="47">
        <v>3327</v>
      </c>
      <c r="C67" s="47"/>
      <c r="D67" s="47" t="s">
        <v>729</v>
      </c>
      <c r="E67" s="47" t="s">
        <v>228</v>
      </c>
      <c r="F67" s="47" t="s">
        <v>86</v>
      </c>
      <c r="G67" s="47" t="str">
        <f>CONCATENATE(TRIM(الجدول2[[#This Row],[الاسم الأول]])," ",TRIM(الجدول2[[#This Row],[اسم الأب]])," ",TRIM(الجدول2[[#This Row],[الكنية]]))</f>
        <v>رانيه محمود احمد</v>
      </c>
      <c r="H67" s="47" t="s">
        <v>730</v>
      </c>
      <c r="I67" s="48" t="s">
        <v>731</v>
      </c>
      <c r="J67" s="47" t="s">
        <v>58</v>
      </c>
      <c r="K67" s="47" t="s">
        <v>732</v>
      </c>
      <c r="L67" s="47" t="s">
        <v>733</v>
      </c>
      <c r="M67" s="47" t="s">
        <v>734</v>
      </c>
      <c r="N67" s="47" t="s">
        <v>61</v>
      </c>
      <c r="O67" s="49">
        <v>31464</v>
      </c>
      <c r="P67" s="47" t="s">
        <v>735</v>
      </c>
      <c r="Q67" s="47" t="s">
        <v>179</v>
      </c>
      <c r="R67" s="48" t="s">
        <v>736</v>
      </c>
      <c r="S67" s="47" t="s">
        <v>109</v>
      </c>
      <c r="T67" s="47"/>
      <c r="U67" s="47">
        <v>2</v>
      </c>
      <c r="V67" s="47" t="s">
        <v>66</v>
      </c>
      <c r="W67" s="47" t="s">
        <v>67</v>
      </c>
      <c r="X67" s="47" t="s">
        <v>68</v>
      </c>
      <c r="Y67" s="47" t="s">
        <v>121</v>
      </c>
      <c r="Z67" s="47"/>
      <c r="AA67" s="47"/>
      <c r="AB67" s="47" t="s">
        <v>122</v>
      </c>
      <c r="AC67" s="47" t="s">
        <v>73</v>
      </c>
      <c r="AD67" s="47" t="s">
        <v>74</v>
      </c>
      <c r="AE67" s="49">
        <v>41294</v>
      </c>
      <c r="AF67" s="47" t="s">
        <v>123</v>
      </c>
      <c r="AG67" s="47"/>
      <c r="AH67" s="47" t="s">
        <v>124</v>
      </c>
      <c r="AI67" s="47" t="s">
        <v>182</v>
      </c>
      <c r="AJ67" s="47" t="s">
        <v>737</v>
      </c>
      <c r="AK67" s="47" t="s">
        <v>59</v>
      </c>
      <c r="AL67" s="47" t="s">
        <v>59</v>
      </c>
      <c r="AM67" s="47" t="s">
        <v>79</v>
      </c>
      <c r="AN67" s="47" t="s">
        <v>83</v>
      </c>
      <c r="AO67" s="47" t="s">
        <v>738</v>
      </c>
      <c r="AP67" s="47" t="s">
        <v>739</v>
      </c>
      <c r="AQ67" s="47" t="s">
        <v>81</v>
      </c>
      <c r="AR67" s="47"/>
      <c r="AS67" s="47" t="s">
        <v>446</v>
      </c>
      <c r="AT67" s="47" t="s">
        <v>182</v>
      </c>
      <c r="AU67" s="47" t="s">
        <v>83</v>
      </c>
      <c r="AV67" s="47" t="s">
        <v>61</v>
      </c>
      <c r="AW67" s="47" t="s">
        <v>182</v>
      </c>
      <c r="AX67" s="47" t="s">
        <v>737</v>
      </c>
      <c r="AY67" s="49">
        <v>39468</v>
      </c>
      <c r="AZ67" s="47" t="s">
        <v>80</v>
      </c>
      <c r="BA67" s="47"/>
      <c r="BB67" s="47" t="s">
        <v>2359</v>
      </c>
      <c r="BC67" s="47" t="s">
        <v>2542</v>
      </c>
      <c r="BD67" s="47">
        <v>526025161</v>
      </c>
      <c r="BE67" s="50">
        <v>9343</v>
      </c>
      <c r="BF67" s="53">
        <v>1243000</v>
      </c>
    </row>
    <row r="68" spans="1:58" s="51" customFormat="1" ht="23.4" hidden="1" x14ac:dyDescent="0.25">
      <c r="A68" s="46">
        <v>67</v>
      </c>
      <c r="B68" s="47">
        <v>3367</v>
      </c>
      <c r="C68" s="47">
        <v>1241582</v>
      </c>
      <c r="D68" s="47" t="s">
        <v>740</v>
      </c>
      <c r="E68" s="47" t="s">
        <v>741</v>
      </c>
      <c r="F68" s="47" t="s">
        <v>55</v>
      </c>
      <c r="G68" s="47" t="str">
        <f>CONCATENATE(TRIM(الجدول2[[#This Row],[الاسم الأول]])," ",TRIM(الجدول2[[#This Row],[اسم الأب]])," ",TRIM(الجدول2[[#This Row],[الكنية]]))</f>
        <v>ربا غسان حسن</v>
      </c>
      <c r="H68" s="47" t="s">
        <v>742</v>
      </c>
      <c r="I68" s="48" t="s">
        <v>743</v>
      </c>
      <c r="J68" s="47" t="s">
        <v>58</v>
      </c>
      <c r="K68" s="47" t="s">
        <v>59</v>
      </c>
      <c r="L68" s="47" t="s">
        <v>90</v>
      </c>
      <c r="M68" s="47" t="s">
        <v>298</v>
      </c>
      <c r="N68" s="47" t="s">
        <v>744</v>
      </c>
      <c r="O68" s="49">
        <v>29026</v>
      </c>
      <c r="P68" s="47" t="s">
        <v>745</v>
      </c>
      <c r="Q68" s="47" t="s">
        <v>179</v>
      </c>
      <c r="R68" s="48" t="s">
        <v>746</v>
      </c>
      <c r="S68" s="47" t="s">
        <v>109</v>
      </c>
      <c r="T68" s="47"/>
      <c r="U68" s="47">
        <v>3</v>
      </c>
      <c r="V68" s="47" t="s">
        <v>66</v>
      </c>
      <c r="W68" s="47" t="s">
        <v>67</v>
      </c>
      <c r="X68" s="47" t="s">
        <v>68</v>
      </c>
      <c r="Y68" s="47" t="s">
        <v>94</v>
      </c>
      <c r="Z68" s="47" t="s">
        <v>221</v>
      </c>
      <c r="AA68" s="47" t="s">
        <v>472</v>
      </c>
      <c r="AB68" s="47" t="s">
        <v>747</v>
      </c>
      <c r="AC68" s="47" t="s">
        <v>73</v>
      </c>
      <c r="AD68" s="47" t="s">
        <v>74</v>
      </c>
      <c r="AE68" s="49">
        <v>39622</v>
      </c>
      <c r="AF68" s="47" t="s">
        <v>123</v>
      </c>
      <c r="AG68" s="47"/>
      <c r="AH68" s="47" t="s">
        <v>124</v>
      </c>
      <c r="AI68" s="47" t="s">
        <v>125</v>
      </c>
      <c r="AJ68" s="47"/>
      <c r="AK68" s="47" t="s">
        <v>59</v>
      </c>
      <c r="AL68" s="47" t="s">
        <v>59</v>
      </c>
      <c r="AM68" s="47" t="s">
        <v>79</v>
      </c>
      <c r="AN68" s="47" t="s">
        <v>80</v>
      </c>
      <c r="AO68" s="47"/>
      <c r="AP68" s="47"/>
      <c r="AQ68" s="47" t="s">
        <v>81</v>
      </c>
      <c r="AR68" s="47"/>
      <c r="AS68" s="47" t="s">
        <v>173</v>
      </c>
      <c r="AT68" s="47" t="s">
        <v>182</v>
      </c>
      <c r="AU68" s="47" t="s">
        <v>83</v>
      </c>
      <c r="AV68" s="47" t="s">
        <v>59</v>
      </c>
      <c r="AW68" s="47" t="s">
        <v>748</v>
      </c>
      <c r="AX68" s="47" t="s">
        <v>749</v>
      </c>
      <c r="AY68" s="49">
        <v>38922</v>
      </c>
      <c r="AZ68" s="47" t="s">
        <v>80</v>
      </c>
      <c r="BA68" s="47"/>
      <c r="BB68" s="47" t="s">
        <v>2359</v>
      </c>
      <c r="BC68" s="47" t="s">
        <v>2542</v>
      </c>
      <c r="BD68" s="47">
        <v>524059447</v>
      </c>
      <c r="BE68" s="50">
        <v>5752</v>
      </c>
      <c r="BF68" s="53">
        <v>1243000</v>
      </c>
    </row>
    <row r="69" spans="1:58" s="51" customFormat="1" ht="23.4" hidden="1" x14ac:dyDescent="0.25">
      <c r="A69" s="46">
        <v>68</v>
      </c>
      <c r="B69" s="47">
        <v>3375</v>
      </c>
      <c r="C69" s="47">
        <v>1631637</v>
      </c>
      <c r="D69" s="47" t="s">
        <v>750</v>
      </c>
      <c r="E69" s="47" t="s">
        <v>751</v>
      </c>
      <c r="F69" s="47" t="s">
        <v>53</v>
      </c>
      <c r="G69" s="47" t="str">
        <f>CONCATENATE(TRIM(الجدول2[[#This Row],[الاسم الأول]])," ",TRIM(الجدول2[[#This Row],[اسم الأب]])," ",TRIM(الجدول2[[#This Row],[الكنية]]))</f>
        <v>رباب محرز ابراهيم</v>
      </c>
      <c r="H69" s="47" t="s">
        <v>752</v>
      </c>
      <c r="I69" s="48" t="s">
        <v>753</v>
      </c>
      <c r="J69" s="47" t="s">
        <v>58</v>
      </c>
      <c r="K69" s="47" t="s">
        <v>59</v>
      </c>
      <c r="L69" s="47" t="s">
        <v>59</v>
      </c>
      <c r="M69" s="47" t="s">
        <v>60</v>
      </c>
      <c r="N69" s="47" t="s">
        <v>754</v>
      </c>
      <c r="O69" s="49">
        <v>32217</v>
      </c>
      <c r="P69" s="47" t="s">
        <v>755</v>
      </c>
      <c r="Q69" s="47" t="s">
        <v>179</v>
      </c>
      <c r="R69" s="48" t="s">
        <v>756</v>
      </c>
      <c r="S69" s="47" t="s">
        <v>109</v>
      </c>
      <c r="T69" s="47"/>
      <c r="U69" s="47">
        <v>2</v>
      </c>
      <c r="V69" s="47" t="s">
        <v>66</v>
      </c>
      <c r="W69" s="47" t="s">
        <v>67</v>
      </c>
      <c r="X69" s="47" t="s">
        <v>68</v>
      </c>
      <c r="Y69" s="47" t="s">
        <v>137</v>
      </c>
      <c r="Z69" s="47"/>
      <c r="AA69" s="47"/>
      <c r="AB69" s="47" t="s">
        <v>181</v>
      </c>
      <c r="AC69" s="47" t="s">
        <v>73</v>
      </c>
      <c r="AD69" s="47" t="s">
        <v>74</v>
      </c>
      <c r="AE69" s="49">
        <v>41294</v>
      </c>
      <c r="AF69" s="47" t="s">
        <v>123</v>
      </c>
      <c r="AG69" s="47"/>
      <c r="AH69" s="47" t="s">
        <v>124</v>
      </c>
      <c r="AI69" s="47" t="s">
        <v>182</v>
      </c>
      <c r="AJ69" s="47" t="s">
        <v>757</v>
      </c>
      <c r="AK69" s="47" t="s">
        <v>59</v>
      </c>
      <c r="AL69" s="47" t="s">
        <v>164</v>
      </c>
      <c r="AM69" s="47" t="s">
        <v>79</v>
      </c>
      <c r="AN69" s="47" t="s">
        <v>83</v>
      </c>
      <c r="AO69" s="47" t="s">
        <v>758</v>
      </c>
      <c r="AP69" s="47" t="s">
        <v>759</v>
      </c>
      <c r="AQ69" s="47" t="s">
        <v>81</v>
      </c>
      <c r="AR69" s="47"/>
      <c r="AS69" s="47" t="s">
        <v>173</v>
      </c>
      <c r="AT69" s="47" t="s">
        <v>182</v>
      </c>
      <c r="AU69" s="47" t="s">
        <v>83</v>
      </c>
      <c r="AV69" s="47" t="s">
        <v>760</v>
      </c>
      <c r="AW69" s="47" t="s">
        <v>182</v>
      </c>
      <c r="AX69" s="47" t="s">
        <v>310</v>
      </c>
      <c r="AY69" s="49">
        <v>40023</v>
      </c>
      <c r="AZ69" s="47" t="s">
        <v>80</v>
      </c>
      <c r="BA69" s="47" t="s">
        <v>761</v>
      </c>
      <c r="BB69" s="47" t="s">
        <v>2358</v>
      </c>
      <c r="BC69" s="47" t="s">
        <v>2542</v>
      </c>
      <c r="BD69" s="47">
        <v>527276070</v>
      </c>
      <c r="BE69" s="50">
        <v>17359</v>
      </c>
      <c r="BF69" s="53">
        <v>1243000</v>
      </c>
    </row>
    <row r="70" spans="1:58" s="51" customFormat="1" ht="23.4" hidden="1" x14ac:dyDescent="0.25">
      <c r="A70" s="46">
        <v>69</v>
      </c>
      <c r="B70" s="47">
        <v>3388</v>
      </c>
      <c r="C70" s="47">
        <v>1615483</v>
      </c>
      <c r="D70" s="47" t="s">
        <v>762</v>
      </c>
      <c r="E70" s="47" t="s">
        <v>763</v>
      </c>
      <c r="F70" s="47" t="s">
        <v>116</v>
      </c>
      <c r="G70" s="47" t="str">
        <f>CONCATENATE(TRIM(الجدول2[[#This Row],[الاسم الأول]])," ",TRIM(الجدول2[[#This Row],[اسم الأب]])," ",TRIM(الجدول2[[#This Row],[الكنية]]))</f>
        <v>ربيع رمضان يوسف</v>
      </c>
      <c r="H70" s="47" t="s">
        <v>764</v>
      </c>
      <c r="I70" s="48" t="s">
        <v>765</v>
      </c>
      <c r="J70" s="47" t="s">
        <v>58</v>
      </c>
      <c r="K70" s="47" t="s">
        <v>59</v>
      </c>
      <c r="L70" s="47" t="s">
        <v>164</v>
      </c>
      <c r="M70" s="47" t="s">
        <v>766</v>
      </c>
      <c r="N70" s="47" t="s">
        <v>767</v>
      </c>
      <c r="O70" s="49">
        <v>33725</v>
      </c>
      <c r="P70" s="47" t="s">
        <v>768</v>
      </c>
      <c r="Q70" s="47" t="s">
        <v>63</v>
      </c>
      <c r="R70" s="48" t="s">
        <v>769</v>
      </c>
      <c r="S70" s="47" t="s">
        <v>109</v>
      </c>
      <c r="T70" s="47">
        <v>1</v>
      </c>
      <c r="U70" s="47">
        <v>1</v>
      </c>
      <c r="V70" s="47" t="s">
        <v>66</v>
      </c>
      <c r="W70" s="47" t="s">
        <v>67</v>
      </c>
      <c r="X70" s="47" t="s">
        <v>68</v>
      </c>
      <c r="Y70" s="47" t="s">
        <v>137</v>
      </c>
      <c r="Z70" s="47"/>
      <c r="AA70" s="47"/>
      <c r="AB70" s="47" t="s">
        <v>770</v>
      </c>
      <c r="AC70" s="47" t="s">
        <v>73</v>
      </c>
      <c r="AD70" s="47" t="s">
        <v>74</v>
      </c>
      <c r="AE70" s="49">
        <v>41276</v>
      </c>
      <c r="AF70" s="47" t="s">
        <v>123</v>
      </c>
      <c r="AG70" s="47"/>
      <c r="AH70" s="47" t="s">
        <v>157</v>
      </c>
      <c r="AI70" s="47" t="s">
        <v>143</v>
      </c>
      <c r="AJ70" s="47"/>
      <c r="AK70" s="47" t="s">
        <v>59</v>
      </c>
      <c r="AL70" s="47" t="s">
        <v>164</v>
      </c>
      <c r="AM70" s="47" t="s">
        <v>99</v>
      </c>
      <c r="AN70" s="47" t="s">
        <v>80</v>
      </c>
      <c r="AO70" s="47"/>
      <c r="AP70" s="47"/>
      <c r="AQ70" s="47" t="s">
        <v>81</v>
      </c>
      <c r="AR70" s="47"/>
      <c r="AS70" s="47" t="s">
        <v>173</v>
      </c>
      <c r="AT70" s="47" t="s">
        <v>143</v>
      </c>
      <c r="AU70" s="47" t="s">
        <v>83</v>
      </c>
      <c r="AV70" s="47"/>
      <c r="AW70" s="47"/>
      <c r="AX70" s="47"/>
      <c r="AY70" s="49">
        <v>39293</v>
      </c>
      <c r="AZ70" s="47" t="s">
        <v>80</v>
      </c>
      <c r="BA70" s="47" t="s">
        <v>771</v>
      </c>
      <c r="BB70" s="47" t="s">
        <v>2358</v>
      </c>
      <c r="BC70" s="47" t="s">
        <v>2542</v>
      </c>
      <c r="BD70" s="47">
        <v>528061848</v>
      </c>
      <c r="BE70" s="50">
        <v>21864</v>
      </c>
      <c r="BF70" s="53">
        <v>1176387</v>
      </c>
    </row>
    <row r="71" spans="1:58" s="51" customFormat="1" ht="23.4" hidden="1" x14ac:dyDescent="0.25">
      <c r="A71" s="46">
        <v>70</v>
      </c>
      <c r="B71" s="47">
        <v>3392</v>
      </c>
      <c r="C71" s="47">
        <v>1595806</v>
      </c>
      <c r="D71" s="47" t="s">
        <v>762</v>
      </c>
      <c r="E71" s="47" t="s">
        <v>131</v>
      </c>
      <c r="F71" s="47" t="s">
        <v>53</v>
      </c>
      <c r="G71" s="47" t="str">
        <f>CONCATENATE(TRIM(الجدول2[[#This Row],[الاسم الأول]])," ",TRIM(الجدول2[[#This Row],[اسم الأب]])," ",TRIM(الجدول2[[#This Row],[الكنية]]))</f>
        <v>ربيع علي ابراهيم</v>
      </c>
      <c r="H71" s="47" t="s">
        <v>772</v>
      </c>
      <c r="I71" s="48" t="s">
        <v>773</v>
      </c>
      <c r="J71" s="47" t="s">
        <v>58</v>
      </c>
      <c r="K71" s="47" t="s">
        <v>59</v>
      </c>
      <c r="L71" s="47" t="s">
        <v>59</v>
      </c>
      <c r="M71" s="47" t="s">
        <v>60</v>
      </c>
      <c r="N71" s="47" t="s">
        <v>59</v>
      </c>
      <c r="O71" s="49">
        <v>31049</v>
      </c>
      <c r="P71" s="47" t="s">
        <v>774</v>
      </c>
      <c r="Q71" s="47" t="s">
        <v>63</v>
      </c>
      <c r="R71" s="48" t="s">
        <v>775</v>
      </c>
      <c r="S71" s="47" t="s">
        <v>65</v>
      </c>
      <c r="T71" s="47"/>
      <c r="U71" s="47"/>
      <c r="V71" s="47" t="s">
        <v>66</v>
      </c>
      <c r="W71" s="47" t="s">
        <v>67</v>
      </c>
      <c r="X71" s="47" t="s">
        <v>68</v>
      </c>
      <c r="Y71" s="47" t="s">
        <v>776</v>
      </c>
      <c r="Z71" s="47"/>
      <c r="AA71" s="47"/>
      <c r="AB71" s="47" t="s">
        <v>122</v>
      </c>
      <c r="AC71" s="47" t="s">
        <v>73</v>
      </c>
      <c r="AD71" s="47" t="s">
        <v>74</v>
      </c>
      <c r="AE71" s="49">
        <v>41280</v>
      </c>
      <c r="AF71" s="47" t="s">
        <v>123</v>
      </c>
      <c r="AG71" s="47"/>
      <c r="AH71" s="47" t="s">
        <v>2277</v>
      </c>
      <c r="AI71" s="47" t="s">
        <v>327</v>
      </c>
      <c r="AJ71" s="47" t="s">
        <v>777</v>
      </c>
      <c r="AK71" s="47" t="s">
        <v>59</v>
      </c>
      <c r="AL71" s="47" t="s">
        <v>59</v>
      </c>
      <c r="AM71" s="47" t="s">
        <v>99</v>
      </c>
      <c r="AN71" s="47" t="s">
        <v>80</v>
      </c>
      <c r="AO71" s="47"/>
      <c r="AP71" s="47"/>
      <c r="AQ71" s="47" t="s">
        <v>81</v>
      </c>
      <c r="AR71" s="47"/>
      <c r="AS71" s="47" t="s">
        <v>173</v>
      </c>
      <c r="AT71" s="47" t="s">
        <v>327</v>
      </c>
      <c r="AU71" s="47" t="s">
        <v>83</v>
      </c>
      <c r="AV71" s="47" t="s">
        <v>778</v>
      </c>
      <c r="AW71" s="47" t="s">
        <v>779</v>
      </c>
      <c r="AX71" s="47" t="s">
        <v>780</v>
      </c>
      <c r="AY71" s="49">
        <v>44754</v>
      </c>
      <c r="AZ71" s="47" t="s">
        <v>80</v>
      </c>
      <c r="BA71" s="47"/>
      <c r="BB71" s="47" t="s">
        <v>2359</v>
      </c>
      <c r="BC71" s="47" t="s">
        <v>2542</v>
      </c>
      <c r="BD71" s="47">
        <v>526094579</v>
      </c>
      <c r="BE71" s="50">
        <v>10964</v>
      </c>
      <c r="BF71" s="53">
        <v>1098000</v>
      </c>
    </row>
    <row r="72" spans="1:58" s="51" customFormat="1" ht="23.4" hidden="1" x14ac:dyDescent="0.25">
      <c r="A72" s="46">
        <v>71</v>
      </c>
      <c r="B72" s="47">
        <v>3431</v>
      </c>
      <c r="C72" s="47">
        <v>1632627</v>
      </c>
      <c r="D72" s="47" t="s">
        <v>781</v>
      </c>
      <c r="E72" s="47" t="s">
        <v>131</v>
      </c>
      <c r="F72" s="47" t="s">
        <v>131</v>
      </c>
      <c r="G72" s="47" t="str">
        <f>CONCATENATE(TRIM(الجدول2[[#This Row],[الاسم الأول]])," ",TRIM(الجدول2[[#This Row],[اسم الأب]])," ",TRIM(الجدول2[[#This Row],[الكنية]]))</f>
        <v>رزان علي علي</v>
      </c>
      <c r="H72" s="47" t="s">
        <v>782</v>
      </c>
      <c r="I72" s="48" t="s">
        <v>783</v>
      </c>
      <c r="J72" s="47" t="s">
        <v>58</v>
      </c>
      <c r="K72" s="47" t="s">
        <v>59</v>
      </c>
      <c r="L72" s="47" t="s">
        <v>164</v>
      </c>
      <c r="M72" s="47" t="s">
        <v>165</v>
      </c>
      <c r="N72" s="47" t="s">
        <v>784</v>
      </c>
      <c r="O72" s="49">
        <v>29956</v>
      </c>
      <c r="P72" s="47" t="s">
        <v>785</v>
      </c>
      <c r="Q72" s="47" t="s">
        <v>179</v>
      </c>
      <c r="R72" s="48" t="s">
        <v>786</v>
      </c>
      <c r="S72" s="47" t="s">
        <v>109</v>
      </c>
      <c r="T72" s="47"/>
      <c r="U72" s="47">
        <v>2</v>
      </c>
      <c r="V72" s="47" t="s">
        <v>66</v>
      </c>
      <c r="W72" s="47" t="s">
        <v>67</v>
      </c>
      <c r="X72" s="47" t="s">
        <v>68</v>
      </c>
      <c r="Y72" s="47" t="s">
        <v>137</v>
      </c>
      <c r="Z72" s="47"/>
      <c r="AA72" s="47"/>
      <c r="AB72" s="47" t="s">
        <v>289</v>
      </c>
      <c r="AC72" s="47" t="s">
        <v>73</v>
      </c>
      <c r="AD72" s="47" t="s">
        <v>74</v>
      </c>
      <c r="AE72" s="49">
        <v>40860</v>
      </c>
      <c r="AF72" s="47" t="s">
        <v>123</v>
      </c>
      <c r="AG72" s="47"/>
      <c r="AH72" s="47" t="s">
        <v>2277</v>
      </c>
      <c r="AI72" s="47" t="s">
        <v>327</v>
      </c>
      <c r="AJ72" s="47" t="s">
        <v>787</v>
      </c>
      <c r="AK72" s="47" t="s">
        <v>59</v>
      </c>
      <c r="AL72" s="47" t="s">
        <v>164</v>
      </c>
      <c r="AM72" s="47" t="s">
        <v>99</v>
      </c>
      <c r="AN72" s="47" t="s">
        <v>83</v>
      </c>
      <c r="AO72" s="47" t="s">
        <v>788</v>
      </c>
      <c r="AP72" s="47" t="s">
        <v>789</v>
      </c>
      <c r="AQ72" s="47" t="s">
        <v>81</v>
      </c>
      <c r="AR72" s="47"/>
      <c r="AS72" s="47" t="s">
        <v>173</v>
      </c>
      <c r="AT72" s="47" t="s">
        <v>327</v>
      </c>
      <c r="AU72" s="47" t="s">
        <v>83</v>
      </c>
      <c r="AV72" s="47" t="s">
        <v>790</v>
      </c>
      <c r="AW72" s="47" t="s">
        <v>711</v>
      </c>
      <c r="AX72" s="47" t="s">
        <v>787</v>
      </c>
      <c r="AY72" s="49">
        <v>38563</v>
      </c>
      <c r="AZ72" s="47" t="s">
        <v>80</v>
      </c>
      <c r="BA72" s="47" t="s">
        <v>791</v>
      </c>
      <c r="BB72" s="47" t="s">
        <v>2358</v>
      </c>
      <c r="BC72" s="47" t="s">
        <v>2542</v>
      </c>
      <c r="BD72" s="47">
        <v>528100946</v>
      </c>
      <c r="BE72" s="50">
        <v>22372</v>
      </c>
      <c r="BF72" s="53">
        <v>1351842</v>
      </c>
    </row>
    <row r="73" spans="1:58" s="51" customFormat="1" ht="23.4" hidden="1" x14ac:dyDescent="0.25">
      <c r="A73" s="46">
        <v>72</v>
      </c>
      <c r="B73" s="47">
        <v>3435</v>
      </c>
      <c r="C73" s="47">
        <v>1332421</v>
      </c>
      <c r="D73" s="47" t="s">
        <v>781</v>
      </c>
      <c r="E73" s="47" t="s">
        <v>792</v>
      </c>
      <c r="F73" s="47" t="s">
        <v>175</v>
      </c>
      <c r="G73" s="47" t="str">
        <f>CONCATENATE(TRIM(الجدول2[[#This Row],[الاسم الأول]])," ",TRIM(الجدول2[[#This Row],[اسم الأب]])," ",TRIM(الجدول2[[#This Row],[الكنية]]))</f>
        <v>رزان نبيل اسماعيل</v>
      </c>
      <c r="H73" s="47" t="s">
        <v>793</v>
      </c>
      <c r="I73" s="48" t="s">
        <v>794</v>
      </c>
      <c r="J73" s="47" t="s">
        <v>58</v>
      </c>
      <c r="K73" s="47" t="s">
        <v>59</v>
      </c>
      <c r="L73" s="47" t="s">
        <v>59</v>
      </c>
      <c r="M73" s="47" t="s">
        <v>60</v>
      </c>
      <c r="N73" s="47" t="s">
        <v>361</v>
      </c>
      <c r="O73" s="49">
        <v>31510</v>
      </c>
      <c r="P73" s="47" t="s">
        <v>795</v>
      </c>
      <c r="Q73" s="47" t="s">
        <v>179</v>
      </c>
      <c r="R73" s="48" t="s">
        <v>796</v>
      </c>
      <c r="S73" s="47" t="s">
        <v>418</v>
      </c>
      <c r="T73" s="47"/>
      <c r="U73" s="47">
        <v>1</v>
      </c>
      <c r="V73" s="47" t="s">
        <v>66</v>
      </c>
      <c r="W73" s="47" t="s">
        <v>67</v>
      </c>
      <c r="X73" s="47" t="s">
        <v>68</v>
      </c>
      <c r="Y73" s="47" t="s">
        <v>797</v>
      </c>
      <c r="Z73" s="47"/>
      <c r="AA73" s="47"/>
      <c r="AB73" s="47" t="s">
        <v>72</v>
      </c>
      <c r="AC73" s="47" t="s">
        <v>73</v>
      </c>
      <c r="AD73" s="47" t="s">
        <v>74</v>
      </c>
      <c r="AE73" s="49">
        <v>40910</v>
      </c>
      <c r="AF73" s="47" t="s">
        <v>75</v>
      </c>
      <c r="AG73" s="47"/>
      <c r="AH73" s="47" t="s">
        <v>2277</v>
      </c>
      <c r="AI73" s="47" t="s">
        <v>76</v>
      </c>
      <c r="AJ73" s="47" t="s">
        <v>798</v>
      </c>
      <c r="AK73" s="47" t="s">
        <v>59</v>
      </c>
      <c r="AL73" s="47" t="s">
        <v>59</v>
      </c>
      <c r="AM73" s="47" t="s">
        <v>99</v>
      </c>
      <c r="AN73" s="47" t="s">
        <v>80</v>
      </c>
      <c r="AO73" s="47"/>
      <c r="AP73" s="47"/>
      <c r="AQ73" s="47" t="s">
        <v>81</v>
      </c>
      <c r="AR73" s="47"/>
      <c r="AS73" s="47" t="s">
        <v>236</v>
      </c>
      <c r="AT73" s="47" t="s">
        <v>76</v>
      </c>
      <c r="AU73" s="47" t="s">
        <v>83</v>
      </c>
      <c r="AV73" s="47" t="s">
        <v>425</v>
      </c>
      <c r="AW73" s="47" t="s">
        <v>277</v>
      </c>
      <c r="AX73" s="47" t="s">
        <v>799</v>
      </c>
      <c r="AY73" s="49">
        <v>40434</v>
      </c>
      <c r="AZ73" s="47" t="s">
        <v>80</v>
      </c>
      <c r="BA73" s="47"/>
      <c r="BB73" s="47" t="s">
        <v>2359</v>
      </c>
      <c r="BC73" s="47" t="s">
        <v>2542</v>
      </c>
      <c r="BD73" s="47">
        <v>526076419</v>
      </c>
      <c r="BE73" s="50">
        <v>10608</v>
      </c>
      <c r="BF73" s="53">
        <v>1362957</v>
      </c>
    </row>
    <row r="74" spans="1:58" s="51" customFormat="1" ht="23.4" hidden="1" x14ac:dyDescent="0.25">
      <c r="A74" s="46">
        <v>73</v>
      </c>
      <c r="B74" s="47">
        <v>3449</v>
      </c>
      <c r="C74" s="47">
        <v>1634839</v>
      </c>
      <c r="D74" s="47" t="s">
        <v>800</v>
      </c>
      <c r="E74" s="47" t="s">
        <v>81</v>
      </c>
      <c r="F74" s="47" t="s">
        <v>131</v>
      </c>
      <c r="G74" s="47" t="str">
        <f>CONCATENATE(TRIM(الجدول2[[#This Row],[الاسم الأول]])," ",TRIM(الجدول2[[#This Row],[اسم الأب]])," ",TRIM(الجدول2[[#This Row],[الكنية]]))</f>
        <v>رشا سليم علي</v>
      </c>
      <c r="H74" s="47" t="s">
        <v>801</v>
      </c>
      <c r="I74" s="48" t="s">
        <v>802</v>
      </c>
      <c r="J74" s="47" t="s">
        <v>58</v>
      </c>
      <c r="K74" s="47" t="s">
        <v>59</v>
      </c>
      <c r="L74" s="47" t="s">
        <v>141</v>
      </c>
      <c r="M74" s="47" t="s">
        <v>242</v>
      </c>
      <c r="N74" s="47" t="s">
        <v>242</v>
      </c>
      <c r="O74" s="49">
        <v>33359</v>
      </c>
      <c r="P74" s="47" t="s">
        <v>803</v>
      </c>
      <c r="Q74" s="47" t="s">
        <v>179</v>
      </c>
      <c r="R74" s="48" t="s">
        <v>804</v>
      </c>
      <c r="S74" s="47" t="s">
        <v>109</v>
      </c>
      <c r="T74" s="47"/>
      <c r="U74" s="47">
        <v>4</v>
      </c>
      <c r="V74" s="47" t="s">
        <v>66</v>
      </c>
      <c r="W74" s="47" t="s">
        <v>67</v>
      </c>
      <c r="X74" s="47" t="s">
        <v>68</v>
      </c>
      <c r="Y74" s="47" t="s">
        <v>137</v>
      </c>
      <c r="Z74" s="47"/>
      <c r="AA74" s="47"/>
      <c r="AB74" s="47" t="s">
        <v>805</v>
      </c>
      <c r="AC74" s="47" t="s">
        <v>73</v>
      </c>
      <c r="AD74" s="47" t="s">
        <v>74</v>
      </c>
      <c r="AE74" s="49">
        <v>41297</v>
      </c>
      <c r="AF74" s="47" t="s">
        <v>123</v>
      </c>
      <c r="AG74" s="47"/>
      <c r="AH74" s="47" t="s">
        <v>124</v>
      </c>
      <c r="AI74" s="47" t="s">
        <v>182</v>
      </c>
      <c r="AJ74" s="47" t="s">
        <v>806</v>
      </c>
      <c r="AK74" s="47" t="s">
        <v>59</v>
      </c>
      <c r="AL74" s="47" t="s">
        <v>141</v>
      </c>
      <c r="AM74" s="47" t="s">
        <v>99</v>
      </c>
      <c r="AN74" s="47" t="s">
        <v>80</v>
      </c>
      <c r="AO74" s="47"/>
      <c r="AP74" s="47"/>
      <c r="AQ74" s="47" t="s">
        <v>81</v>
      </c>
      <c r="AR74" s="47"/>
      <c r="AS74" s="47" t="s">
        <v>446</v>
      </c>
      <c r="AT74" s="47" t="s">
        <v>182</v>
      </c>
      <c r="AU74" s="47" t="s">
        <v>83</v>
      </c>
      <c r="AV74" s="47" t="s">
        <v>59</v>
      </c>
      <c r="AW74" s="47" t="s">
        <v>807</v>
      </c>
      <c r="AX74" s="47" t="s">
        <v>808</v>
      </c>
      <c r="AY74" s="49">
        <v>41114</v>
      </c>
      <c r="AZ74" s="47" t="s">
        <v>80</v>
      </c>
      <c r="BA74" s="47" t="s">
        <v>144</v>
      </c>
      <c r="BB74" s="47" t="s">
        <v>2358</v>
      </c>
      <c r="BC74" s="47" t="s">
        <v>2542</v>
      </c>
      <c r="BD74" s="47">
        <v>524152040</v>
      </c>
      <c r="BE74" s="50">
        <v>6462</v>
      </c>
      <c r="BF74" s="53">
        <v>1243000</v>
      </c>
    </row>
    <row r="75" spans="1:58" s="51" customFormat="1" ht="23.4" hidden="1" x14ac:dyDescent="0.25">
      <c r="A75" s="46">
        <v>74</v>
      </c>
      <c r="B75" s="47">
        <v>3596</v>
      </c>
      <c r="C75" s="47"/>
      <c r="D75" s="47" t="s">
        <v>809</v>
      </c>
      <c r="E75" s="47" t="s">
        <v>115</v>
      </c>
      <c r="F75" s="47" t="s">
        <v>810</v>
      </c>
      <c r="G75" s="47" t="str">
        <f>CONCATENATE(TRIM(الجدول2[[#This Row],[الاسم الأول]])," ",TRIM(الجدول2[[#This Row],[اسم الأب]])," ",TRIM(الجدول2[[#This Row],[الكنية]]))</f>
        <v>رنا محمد ديب</v>
      </c>
      <c r="H75" s="47" t="s">
        <v>811</v>
      </c>
      <c r="I75" s="48" t="s">
        <v>812</v>
      </c>
      <c r="J75" s="47" t="s">
        <v>58</v>
      </c>
      <c r="K75" s="47" t="s">
        <v>59</v>
      </c>
      <c r="L75" s="47" t="s">
        <v>59</v>
      </c>
      <c r="M75" s="47" t="s">
        <v>60</v>
      </c>
      <c r="N75" s="47" t="s">
        <v>59</v>
      </c>
      <c r="O75" s="49">
        <v>28151</v>
      </c>
      <c r="P75" s="47" t="s">
        <v>813</v>
      </c>
      <c r="Q75" s="47" t="s">
        <v>179</v>
      </c>
      <c r="R75" s="48" t="s">
        <v>814</v>
      </c>
      <c r="S75" s="47" t="s">
        <v>109</v>
      </c>
      <c r="T75" s="47"/>
      <c r="U75" s="47">
        <v>0</v>
      </c>
      <c r="V75" s="47" t="s">
        <v>66</v>
      </c>
      <c r="W75" s="47" t="s">
        <v>67</v>
      </c>
      <c r="X75" s="47" t="s">
        <v>68</v>
      </c>
      <c r="Y75" s="47" t="s">
        <v>797</v>
      </c>
      <c r="Z75" s="47"/>
      <c r="AA75" s="47"/>
      <c r="AB75" s="47" t="s">
        <v>72</v>
      </c>
      <c r="AC75" s="47" t="s">
        <v>73</v>
      </c>
      <c r="AD75" s="47" t="s">
        <v>74</v>
      </c>
      <c r="AE75" s="49">
        <v>36551</v>
      </c>
      <c r="AF75" s="47" t="s">
        <v>75</v>
      </c>
      <c r="AG75" s="47"/>
      <c r="AH75" s="47" t="s">
        <v>2277</v>
      </c>
      <c r="AI75" s="47" t="s">
        <v>76</v>
      </c>
      <c r="AJ75" s="47" t="s">
        <v>277</v>
      </c>
      <c r="AK75" s="47" t="s">
        <v>59</v>
      </c>
      <c r="AL75" s="47" t="s">
        <v>59</v>
      </c>
      <c r="AM75" s="47" t="s">
        <v>99</v>
      </c>
      <c r="AN75" s="47" t="s">
        <v>80</v>
      </c>
      <c r="AO75" s="47"/>
      <c r="AP75" s="47"/>
      <c r="AQ75" s="47" t="s">
        <v>81</v>
      </c>
      <c r="AR75" s="47"/>
      <c r="AS75" s="47" t="s">
        <v>173</v>
      </c>
      <c r="AT75" s="47" t="s">
        <v>76</v>
      </c>
      <c r="AU75" s="47" t="s">
        <v>83</v>
      </c>
      <c r="AV75" s="47" t="s">
        <v>425</v>
      </c>
      <c r="AW75" s="47" t="s">
        <v>815</v>
      </c>
      <c r="AX75" s="47" t="s">
        <v>816</v>
      </c>
      <c r="AY75" s="49">
        <v>36395</v>
      </c>
      <c r="AZ75" s="47" t="s">
        <v>80</v>
      </c>
      <c r="BA75" s="47"/>
      <c r="BB75" s="47" t="s">
        <v>2359</v>
      </c>
      <c r="BC75" s="47" t="s">
        <v>2542</v>
      </c>
      <c r="BD75" s="47">
        <v>526048521</v>
      </c>
      <c r="BE75" s="50">
        <v>10003</v>
      </c>
      <c r="BF75" s="53">
        <v>1409000</v>
      </c>
    </row>
    <row r="76" spans="1:58" s="51" customFormat="1" ht="23.4" hidden="1" x14ac:dyDescent="0.25">
      <c r="A76" s="46">
        <v>75</v>
      </c>
      <c r="B76" s="47">
        <v>3598</v>
      </c>
      <c r="C76" s="47"/>
      <c r="D76" s="47" t="s">
        <v>809</v>
      </c>
      <c r="E76" s="47" t="s">
        <v>115</v>
      </c>
      <c r="F76" s="47" t="s">
        <v>817</v>
      </c>
      <c r="G76" s="47" t="str">
        <f>CONCATENATE(TRIM(الجدول2[[#This Row],[الاسم الأول]])," ",TRIM(الجدول2[[#This Row],[اسم الأب]])," ",TRIM(الجدول2[[#This Row],[الكنية]]))</f>
        <v>رنا محمد مرهج</v>
      </c>
      <c r="H76" s="47" t="s">
        <v>818</v>
      </c>
      <c r="I76" s="48" t="s">
        <v>819</v>
      </c>
      <c r="J76" s="47" t="s">
        <v>58</v>
      </c>
      <c r="K76" s="47" t="s">
        <v>59</v>
      </c>
      <c r="L76" s="47" t="s">
        <v>90</v>
      </c>
      <c r="M76" s="47" t="s">
        <v>298</v>
      </c>
      <c r="N76" s="47" t="s">
        <v>820</v>
      </c>
      <c r="O76" s="49">
        <v>34730</v>
      </c>
      <c r="P76" s="47" t="s">
        <v>820</v>
      </c>
      <c r="Q76" s="47" t="s">
        <v>179</v>
      </c>
      <c r="R76" s="48" t="s">
        <v>821</v>
      </c>
      <c r="S76" s="47" t="s">
        <v>109</v>
      </c>
      <c r="T76" s="47"/>
      <c r="U76" s="47">
        <v>1</v>
      </c>
      <c r="V76" s="47" t="s">
        <v>66</v>
      </c>
      <c r="W76" s="47" t="s">
        <v>67</v>
      </c>
      <c r="X76" s="47" t="s">
        <v>68</v>
      </c>
      <c r="Y76" s="47" t="s">
        <v>210</v>
      </c>
      <c r="Z76" s="47" t="s">
        <v>822</v>
      </c>
      <c r="AA76" s="47"/>
      <c r="AB76" s="47" t="s">
        <v>197</v>
      </c>
      <c r="AC76" s="47" t="s">
        <v>73</v>
      </c>
      <c r="AD76" s="47" t="s">
        <v>74</v>
      </c>
      <c r="AE76" s="49">
        <v>43802</v>
      </c>
      <c r="AF76" s="47" t="s">
        <v>75</v>
      </c>
      <c r="AG76" s="47"/>
      <c r="AH76" s="47" t="s">
        <v>2277</v>
      </c>
      <c r="AI76" s="47" t="s">
        <v>76</v>
      </c>
      <c r="AJ76" s="47" t="s">
        <v>823</v>
      </c>
      <c r="AK76" s="47" t="s">
        <v>59</v>
      </c>
      <c r="AL76" s="47" t="s">
        <v>59</v>
      </c>
      <c r="AM76" s="47" t="s">
        <v>99</v>
      </c>
      <c r="AN76" s="47" t="s">
        <v>80</v>
      </c>
      <c r="AO76" s="47"/>
      <c r="AP76" s="47"/>
      <c r="AQ76" s="47" t="s">
        <v>81</v>
      </c>
      <c r="AR76" s="47"/>
      <c r="AS76" s="47" t="s">
        <v>82</v>
      </c>
      <c r="AT76" s="47" t="s">
        <v>76</v>
      </c>
      <c r="AU76" s="47" t="s">
        <v>83</v>
      </c>
      <c r="AV76" s="47" t="s">
        <v>59</v>
      </c>
      <c r="AW76" s="47" t="s">
        <v>824</v>
      </c>
      <c r="AX76" s="47" t="s">
        <v>825</v>
      </c>
      <c r="AY76" s="49">
        <v>42939</v>
      </c>
      <c r="AZ76" s="47" t="s">
        <v>80</v>
      </c>
      <c r="BA76" s="47"/>
      <c r="BB76" s="47" t="s">
        <v>2359</v>
      </c>
      <c r="BC76" s="47" t="s">
        <v>2542</v>
      </c>
      <c r="BD76" s="47">
        <v>523206273</v>
      </c>
      <c r="BE76" s="50">
        <v>3147</v>
      </c>
      <c r="BF76" s="53">
        <v>1124100</v>
      </c>
    </row>
    <row r="77" spans="1:58" s="51" customFormat="1" ht="23.4" hidden="1" x14ac:dyDescent="0.25">
      <c r="A77" s="46">
        <v>76</v>
      </c>
      <c r="B77" s="47">
        <v>3601</v>
      </c>
      <c r="C77" s="47">
        <v>1468574</v>
      </c>
      <c r="D77" s="47" t="s">
        <v>809</v>
      </c>
      <c r="E77" s="47" t="s">
        <v>826</v>
      </c>
      <c r="F77" s="47" t="s">
        <v>827</v>
      </c>
      <c r="G77" s="47" t="str">
        <f>CONCATENATE(TRIM(الجدول2[[#This Row],[الاسم الأول]])," ",TRIM(الجدول2[[#This Row],[اسم الأب]])," ",TRIM(الجدول2[[#This Row],[الكنية]]))</f>
        <v>رنا نديم العتيق</v>
      </c>
      <c r="H77" s="47" t="s">
        <v>828</v>
      </c>
      <c r="I77" s="48" t="s">
        <v>829</v>
      </c>
      <c r="J77" s="47" t="s">
        <v>58</v>
      </c>
      <c r="K77" s="47" t="s">
        <v>59</v>
      </c>
      <c r="L77" s="47" t="s">
        <v>59</v>
      </c>
      <c r="M77" s="47" t="s">
        <v>60</v>
      </c>
      <c r="N77" s="47" t="s">
        <v>830</v>
      </c>
      <c r="O77" s="49">
        <v>33094</v>
      </c>
      <c r="P77" s="47" t="s">
        <v>831</v>
      </c>
      <c r="Q77" s="47" t="s">
        <v>179</v>
      </c>
      <c r="R77" s="48" t="s">
        <v>832</v>
      </c>
      <c r="S77" s="47" t="s">
        <v>65</v>
      </c>
      <c r="T77" s="47"/>
      <c r="U77" s="47"/>
      <c r="V77" s="47" t="s">
        <v>66</v>
      </c>
      <c r="W77" s="47" t="s">
        <v>67</v>
      </c>
      <c r="X77" s="47" t="s">
        <v>68</v>
      </c>
      <c r="Y77" s="47" t="s">
        <v>797</v>
      </c>
      <c r="Z77" s="47"/>
      <c r="AA77" s="47"/>
      <c r="AB77" s="47" t="s">
        <v>197</v>
      </c>
      <c r="AC77" s="47" t="s">
        <v>73</v>
      </c>
      <c r="AD77" s="47" t="s">
        <v>74</v>
      </c>
      <c r="AE77" s="49">
        <v>42522</v>
      </c>
      <c r="AF77" s="47" t="s">
        <v>75</v>
      </c>
      <c r="AG77" s="47"/>
      <c r="AH77" s="47" t="s">
        <v>2277</v>
      </c>
      <c r="AI77" s="47" t="s">
        <v>76</v>
      </c>
      <c r="AJ77" s="47" t="s">
        <v>277</v>
      </c>
      <c r="AK77" s="47" t="s">
        <v>59</v>
      </c>
      <c r="AL77" s="47" t="s">
        <v>59</v>
      </c>
      <c r="AM77" s="47" t="s">
        <v>99</v>
      </c>
      <c r="AN77" s="47" t="s">
        <v>80</v>
      </c>
      <c r="AO77" s="47"/>
      <c r="AP77" s="47"/>
      <c r="AQ77" s="47" t="s">
        <v>81</v>
      </c>
      <c r="AR77" s="47"/>
      <c r="AS77" s="47" t="s">
        <v>82</v>
      </c>
      <c r="AT77" s="47" t="s">
        <v>76</v>
      </c>
      <c r="AU77" s="47" t="s">
        <v>83</v>
      </c>
      <c r="AV77" s="47" t="s">
        <v>425</v>
      </c>
      <c r="AW77" s="47" t="s">
        <v>277</v>
      </c>
      <c r="AX77" s="47" t="s">
        <v>833</v>
      </c>
      <c r="AY77" s="49">
        <v>42170</v>
      </c>
      <c r="AZ77" s="47" t="s">
        <v>80</v>
      </c>
      <c r="BA77" s="47"/>
      <c r="BB77" s="47" t="s">
        <v>2359</v>
      </c>
      <c r="BC77" s="47" t="s">
        <v>2542</v>
      </c>
      <c r="BD77" s="47">
        <v>523139951</v>
      </c>
      <c r="BE77" s="50">
        <v>2600</v>
      </c>
      <c r="BF77" s="53">
        <v>1232766</v>
      </c>
    </row>
    <row r="78" spans="1:58" s="51" customFormat="1" ht="23.4" hidden="1" x14ac:dyDescent="0.25">
      <c r="A78" s="46">
        <v>77</v>
      </c>
      <c r="B78" s="47">
        <v>3620</v>
      </c>
      <c r="C78" s="47">
        <v>1429774</v>
      </c>
      <c r="D78" s="47" t="s">
        <v>834</v>
      </c>
      <c r="E78" s="47" t="s">
        <v>228</v>
      </c>
      <c r="F78" s="47" t="s">
        <v>116</v>
      </c>
      <c r="G78" s="47" t="str">
        <f>CONCATENATE(TRIM(الجدول2[[#This Row],[الاسم الأول]])," ",TRIM(الجدول2[[#This Row],[اسم الأب]])," ",TRIM(الجدول2[[#This Row],[الكنية]]))</f>
        <v>رنيم محمود يوسف</v>
      </c>
      <c r="H78" s="47" t="s">
        <v>835</v>
      </c>
      <c r="I78" s="48" t="s">
        <v>836</v>
      </c>
      <c r="J78" s="47" t="s">
        <v>58</v>
      </c>
      <c r="K78" s="47" t="s">
        <v>59</v>
      </c>
      <c r="L78" s="47" t="s">
        <v>105</v>
      </c>
      <c r="M78" s="47" t="s">
        <v>106</v>
      </c>
      <c r="N78" s="47" t="s">
        <v>837</v>
      </c>
      <c r="O78" s="49">
        <v>33491</v>
      </c>
      <c r="P78" s="47" t="s">
        <v>838</v>
      </c>
      <c r="Q78" s="47" t="s">
        <v>179</v>
      </c>
      <c r="R78" s="48" t="s">
        <v>839</v>
      </c>
      <c r="S78" s="47" t="s">
        <v>65</v>
      </c>
      <c r="T78" s="47"/>
      <c r="U78" s="47"/>
      <c r="V78" s="47" t="s">
        <v>66</v>
      </c>
      <c r="W78" s="47" t="s">
        <v>67</v>
      </c>
      <c r="X78" s="47" t="s">
        <v>68</v>
      </c>
      <c r="Y78" s="47" t="s">
        <v>246</v>
      </c>
      <c r="Z78" s="47" t="s">
        <v>840</v>
      </c>
      <c r="AA78" s="47"/>
      <c r="AB78" s="47" t="s">
        <v>841</v>
      </c>
      <c r="AC78" s="47" t="s">
        <v>73</v>
      </c>
      <c r="AD78" s="47" t="s">
        <v>74</v>
      </c>
      <c r="AE78" s="49">
        <v>42506</v>
      </c>
      <c r="AF78" s="47" t="s">
        <v>75</v>
      </c>
      <c r="AG78" s="47"/>
      <c r="AH78" s="47" t="s">
        <v>2277</v>
      </c>
      <c r="AI78" s="47" t="s">
        <v>76</v>
      </c>
      <c r="AJ78" s="47" t="s">
        <v>842</v>
      </c>
      <c r="AK78" s="47" t="s">
        <v>59</v>
      </c>
      <c r="AL78" s="47" t="s">
        <v>105</v>
      </c>
      <c r="AM78" s="47" t="s">
        <v>99</v>
      </c>
      <c r="AN78" s="47" t="s">
        <v>80</v>
      </c>
      <c r="AO78" s="47"/>
      <c r="AP78" s="47"/>
      <c r="AQ78" s="47" t="s">
        <v>81</v>
      </c>
      <c r="AR78" s="47"/>
      <c r="AS78" s="47" t="s">
        <v>82</v>
      </c>
      <c r="AT78" s="47" t="s">
        <v>76</v>
      </c>
      <c r="AU78" s="47" t="s">
        <v>83</v>
      </c>
      <c r="AV78" s="47" t="s">
        <v>425</v>
      </c>
      <c r="AW78" s="47" t="s">
        <v>843</v>
      </c>
      <c r="AX78" s="47" t="s">
        <v>844</v>
      </c>
      <c r="AY78" s="49">
        <v>42213</v>
      </c>
      <c r="AZ78" s="47" t="s">
        <v>80</v>
      </c>
      <c r="BA78" s="47"/>
      <c r="BB78" s="47" t="s">
        <v>2359</v>
      </c>
      <c r="BC78" s="47" t="s">
        <v>2542</v>
      </c>
      <c r="BD78" s="47">
        <v>526592021</v>
      </c>
      <c r="BE78" s="50">
        <v>13836</v>
      </c>
      <c r="BF78" s="53">
        <v>1256949</v>
      </c>
    </row>
    <row r="79" spans="1:58" s="51" customFormat="1" ht="23.4" hidden="1" x14ac:dyDescent="0.25">
      <c r="A79" s="46">
        <v>78</v>
      </c>
      <c r="B79" s="47">
        <v>3621</v>
      </c>
      <c r="C79" s="47"/>
      <c r="D79" s="47" t="s">
        <v>845</v>
      </c>
      <c r="E79" s="47" t="s">
        <v>131</v>
      </c>
      <c r="F79" s="47" t="s">
        <v>846</v>
      </c>
      <c r="G79" s="47" t="str">
        <f>CONCATENATE(TRIM(الجدول2[[#This Row],[الاسم الأول]])," ",TRIM(الجدول2[[#This Row],[اسم الأب]])," ",TRIM(الجدول2[[#This Row],[الكنية]]))</f>
        <v>رنين علي درويش</v>
      </c>
      <c r="H79" s="47" t="s">
        <v>847</v>
      </c>
      <c r="I79" s="48" t="s">
        <v>848</v>
      </c>
      <c r="J79" s="47" t="s">
        <v>58</v>
      </c>
      <c r="K79" s="47" t="s">
        <v>59</v>
      </c>
      <c r="L79" s="47" t="s">
        <v>59</v>
      </c>
      <c r="M79" s="47" t="s">
        <v>60</v>
      </c>
      <c r="N79" s="47" t="s">
        <v>849</v>
      </c>
      <c r="O79" s="49">
        <v>35431</v>
      </c>
      <c r="P79" s="47" t="s">
        <v>850</v>
      </c>
      <c r="Q79" s="47" t="s">
        <v>179</v>
      </c>
      <c r="R79" s="48" t="s">
        <v>851</v>
      </c>
      <c r="S79" s="47" t="s">
        <v>109</v>
      </c>
      <c r="T79" s="47"/>
      <c r="U79" s="47">
        <v>1</v>
      </c>
      <c r="V79" s="47" t="s">
        <v>66</v>
      </c>
      <c r="W79" s="47" t="s">
        <v>67</v>
      </c>
      <c r="X79" s="47" t="s">
        <v>68</v>
      </c>
      <c r="Y79" s="47" t="s">
        <v>565</v>
      </c>
      <c r="Z79" s="47"/>
      <c r="AA79" s="47"/>
      <c r="AB79" s="47" t="s">
        <v>212</v>
      </c>
      <c r="AC79" s="47" t="s">
        <v>155</v>
      </c>
      <c r="AD79" s="47" t="s">
        <v>74</v>
      </c>
      <c r="AE79" s="49">
        <v>43905</v>
      </c>
      <c r="AF79" s="47" t="s">
        <v>123</v>
      </c>
      <c r="AG79" s="47"/>
      <c r="AH79" s="47" t="s">
        <v>140</v>
      </c>
      <c r="AI79" s="47" t="s">
        <v>143</v>
      </c>
      <c r="AJ79" s="47"/>
      <c r="AK79" s="47" t="s">
        <v>59</v>
      </c>
      <c r="AL79" s="47" t="s">
        <v>59</v>
      </c>
      <c r="AM79" s="47" t="s">
        <v>99</v>
      </c>
      <c r="AN79" s="47" t="s">
        <v>80</v>
      </c>
      <c r="AO79" s="47"/>
      <c r="AP79" s="47"/>
      <c r="AQ79" s="47" t="s">
        <v>81</v>
      </c>
      <c r="AR79" s="47"/>
      <c r="AS79" s="47" t="s">
        <v>82</v>
      </c>
      <c r="AT79" s="47" t="s">
        <v>143</v>
      </c>
      <c r="AU79" s="47" t="s">
        <v>83</v>
      </c>
      <c r="AV79" s="47"/>
      <c r="AW79" s="47"/>
      <c r="AX79" s="47"/>
      <c r="AY79" s="49">
        <v>40008</v>
      </c>
      <c r="AZ79" s="47" t="s">
        <v>80</v>
      </c>
      <c r="BA79" s="47"/>
      <c r="BB79" s="47" t="s">
        <v>2359</v>
      </c>
      <c r="BC79" s="47" t="s">
        <v>2542</v>
      </c>
      <c r="BD79" s="47">
        <v>526103297</v>
      </c>
      <c r="BE79" s="50">
        <v>11106</v>
      </c>
      <c r="BF79" s="53">
        <v>994128</v>
      </c>
    </row>
    <row r="80" spans="1:58" s="51" customFormat="1" ht="23.4" hidden="1" x14ac:dyDescent="0.25">
      <c r="A80" s="46">
        <v>79</v>
      </c>
      <c r="B80" s="47">
        <v>3640</v>
      </c>
      <c r="C80" s="47">
        <v>1634080</v>
      </c>
      <c r="D80" s="47" t="s">
        <v>852</v>
      </c>
      <c r="E80" s="47" t="s">
        <v>475</v>
      </c>
      <c r="F80" s="47" t="s">
        <v>507</v>
      </c>
      <c r="G80" s="47" t="str">
        <f>CONCATENATE(TRIM(الجدول2[[#This Row],[الاسم الأول]])," ",TRIM(الجدول2[[#This Row],[اسم الأب]])," ",TRIM(الجدول2[[#This Row],[الكنية]]))</f>
        <v>روان جابر خليل</v>
      </c>
      <c r="H80" s="47" t="s">
        <v>516</v>
      </c>
      <c r="I80" s="48" t="s">
        <v>853</v>
      </c>
      <c r="J80" s="47" t="s">
        <v>58</v>
      </c>
      <c r="K80" s="47" t="s">
        <v>59</v>
      </c>
      <c r="L80" s="47" t="s">
        <v>164</v>
      </c>
      <c r="M80" s="47" t="s">
        <v>621</v>
      </c>
      <c r="N80" s="47" t="s">
        <v>854</v>
      </c>
      <c r="O80" s="49">
        <v>36186</v>
      </c>
      <c r="P80" s="47" t="s">
        <v>855</v>
      </c>
      <c r="Q80" s="47" t="s">
        <v>179</v>
      </c>
      <c r="R80" s="48" t="s">
        <v>856</v>
      </c>
      <c r="S80" s="47" t="s">
        <v>65</v>
      </c>
      <c r="T80" s="47"/>
      <c r="U80" s="47"/>
      <c r="V80" s="47" t="s">
        <v>66</v>
      </c>
      <c r="W80" s="47" t="s">
        <v>67</v>
      </c>
      <c r="X80" s="47" t="s">
        <v>68</v>
      </c>
      <c r="Y80" s="47" t="s">
        <v>233</v>
      </c>
      <c r="Z80" s="47" t="s">
        <v>857</v>
      </c>
      <c r="AA80" s="47"/>
      <c r="AB80" s="47" t="s">
        <v>72</v>
      </c>
      <c r="AC80" s="47" t="s">
        <v>73</v>
      </c>
      <c r="AD80" s="47" t="s">
        <v>74</v>
      </c>
      <c r="AE80" s="49">
        <v>45494</v>
      </c>
      <c r="AF80" s="47" t="s">
        <v>75</v>
      </c>
      <c r="AG80" s="47"/>
      <c r="AH80" s="47" t="s">
        <v>2277</v>
      </c>
      <c r="AI80" s="47" t="s">
        <v>76</v>
      </c>
      <c r="AJ80" s="47" t="s">
        <v>198</v>
      </c>
      <c r="AK80" s="47" t="s">
        <v>59</v>
      </c>
      <c r="AL80" s="47" t="s">
        <v>164</v>
      </c>
      <c r="AM80" s="47" t="s">
        <v>99</v>
      </c>
      <c r="AN80" s="47" t="s">
        <v>80</v>
      </c>
      <c r="AO80" s="47"/>
      <c r="AP80" s="47"/>
      <c r="AQ80" s="47" t="s">
        <v>81</v>
      </c>
      <c r="AR80" s="47"/>
      <c r="AS80" s="47" t="s">
        <v>173</v>
      </c>
      <c r="AT80" s="47" t="s">
        <v>76</v>
      </c>
      <c r="AU80" s="47" t="s">
        <v>83</v>
      </c>
      <c r="AV80" s="47" t="s">
        <v>59</v>
      </c>
      <c r="AW80" s="47" t="s">
        <v>843</v>
      </c>
      <c r="AX80" s="47" t="s">
        <v>858</v>
      </c>
      <c r="AY80" s="49">
        <v>44390</v>
      </c>
      <c r="AZ80" s="47" t="s">
        <v>80</v>
      </c>
      <c r="BA80" s="47"/>
      <c r="BB80" s="47" t="s">
        <v>2359</v>
      </c>
      <c r="BC80" s="47" t="s">
        <v>2542</v>
      </c>
      <c r="BD80" s="47">
        <v>524020590</v>
      </c>
      <c r="BE80" s="50">
        <v>5414</v>
      </c>
      <c r="BF80" s="53">
        <v>943000</v>
      </c>
    </row>
    <row r="81" spans="1:58" s="51" customFormat="1" ht="23.4" hidden="1" x14ac:dyDescent="0.25">
      <c r="A81" s="46">
        <v>80</v>
      </c>
      <c r="B81" s="47">
        <v>3641</v>
      </c>
      <c r="C81" s="47">
        <v>1637727</v>
      </c>
      <c r="D81" s="47" t="s">
        <v>852</v>
      </c>
      <c r="E81" s="47" t="s">
        <v>859</v>
      </c>
      <c r="F81" s="47" t="s">
        <v>506</v>
      </c>
      <c r="G81" s="47" t="str">
        <f>CONCATENATE(TRIM(الجدول2[[#This Row],[الاسم الأول]])," ",TRIM(الجدول2[[#This Row],[اسم الأب]])," ",TRIM(الجدول2[[#This Row],[الكنية]]))</f>
        <v>روان ياسين عيسى</v>
      </c>
      <c r="H81" s="47" t="s">
        <v>860</v>
      </c>
      <c r="I81" s="48" t="s">
        <v>861</v>
      </c>
      <c r="J81" s="47" t="s">
        <v>58</v>
      </c>
      <c r="K81" s="47" t="s">
        <v>59</v>
      </c>
      <c r="L81" s="47" t="s">
        <v>59</v>
      </c>
      <c r="M81" s="47" t="s">
        <v>60</v>
      </c>
      <c r="N81" s="47" t="s">
        <v>61</v>
      </c>
      <c r="O81" s="49">
        <v>32270</v>
      </c>
      <c r="P81" s="47" t="s">
        <v>862</v>
      </c>
      <c r="Q81" s="47" t="s">
        <v>179</v>
      </c>
      <c r="R81" s="48" t="s">
        <v>863</v>
      </c>
      <c r="S81" s="47" t="s">
        <v>109</v>
      </c>
      <c r="T81" s="47"/>
      <c r="U81" s="47">
        <v>0</v>
      </c>
      <c r="V81" s="47" t="s">
        <v>66</v>
      </c>
      <c r="W81" s="47" t="s">
        <v>67</v>
      </c>
      <c r="X81" s="47" t="s">
        <v>68</v>
      </c>
      <c r="Y81" s="47" t="s">
        <v>94</v>
      </c>
      <c r="Z81" s="47" t="s">
        <v>864</v>
      </c>
      <c r="AA81" s="47" t="s">
        <v>865</v>
      </c>
      <c r="AB81" s="47" t="s">
        <v>491</v>
      </c>
      <c r="AC81" s="47" t="s">
        <v>73</v>
      </c>
      <c r="AD81" s="47" t="s">
        <v>74</v>
      </c>
      <c r="AE81" s="49">
        <v>40860</v>
      </c>
      <c r="AF81" s="47" t="s">
        <v>123</v>
      </c>
      <c r="AG81" s="47"/>
      <c r="AH81" s="47" t="s">
        <v>124</v>
      </c>
      <c r="AI81" s="47" t="s">
        <v>182</v>
      </c>
      <c r="AJ81" s="47" t="s">
        <v>866</v>
      </c>
      <c r="AK81" s="47" t="s">
        <v>59</v>
      </c>
      <c r="AL81" s="47" t="s">
        <v>59</v>
      </c>
      <c r="AM81" s="47" t="s">
        <v>79</v>
      </c>
      <c r="AN81" s="47" t="s">
        <v>83</v>
      </c>
      <c r="AO81" s="47" t="s">
        <v>867</v>
      </c>
      <c r="AP81" s="47" t="s">
        <v>868</v>
      </c>
      <c r="AQ81" s="47" t="s">
        <v>81</v>
      </c>
      <c r="AR81" s="47"/>
      <c r="AS81" s="47" t="s">
        <v>82</v>
      </c>
      <c r="AT81" s="47" t="s">
        <v>182</v>
      </c>
      <c r="AU81" s="47" t="s">
        <v>83</v>
      </c>
      <c r="AV81" s="47" t="s">
        <v>184</v>
      </c>
      <c r="AW81" s="47" t="s">
        <v>869</v>
      </c>
      <c r="AX81" s="47" t="s">
        <v>870</v>
      </c>
      <c r="AY81" s="49">
        <v>39656</v>
      </c>
      <c r="AZ81" s="47" t="s">
        <v>80</v>
      </c>
      <c r="BA81" s="47"/>
      <c r="BB81" s="47" t="s">
        <v>2359</v>
      </c>
      <c r="BC81" s="47" t="s">
        <v>2542</v>
      </c>
      <c r="BD81" s="47">
        <v>524045197</v>
      </c>
      <c r="BE81" s="50">
        <v>5625</v>
      </c>
      <c r="BF81" s="53">
        <v>1243000</v>
      </c>
    </row>
    <row r="82" spans="1:58" s="51" customFormat="1" ht="23.4" hidden="1" x14ac:dyDescent="0.25">
      <c r="A82" s="46">
        <v>81</v>
      </c>
      <c r="B82" s="47">
        <v>3644</v>
      </c>
      <c r="C82" s="47">
        <v>961824</v>
      </c>
      <c r="D82" s="47" t="s">
        <v>871</v>
      </c>
      <c r="E82" s="47" t="s">
        <v>872</v>
      </c>
      <c r="F82" s="47" t="s">
        <v>873</v>
      </c>
      <c r="G82" s="47" t="str">
        <f>CONCATENATE(TRIM(الجدول2[[#This Row],[الاسم الأول]])," ",TRIM(الجدول2[[#This Row],[اسم الأب]])," ",TRIM(الجدول2[[#This Row],[الكنية]]))</f>
        <v>روبا نشأت زين</v>
      </c>
      <c r="H82" s="47" t="s">
        <v>874</v>
      </c>
      <c r="I82" s="48" t="s">
        <v>875</v>
      </c>
      <c r="J82" s="47" t="s">
        <v>58</v>
      </c>
      <c r="K82" s="47" t="s">
        <v>59</v>
      </c>
      <c r="L82" s="47" t="s">
        <v>59</v>
      </c>
      <c r="M82" s="47" t="s">
        <v>60</v>
      </c>
      <c r="N82" s="47" t="s">
        <v>876</v>
      </c>
      <c r="O82" s="49">
        <v>30213</v>
      </c>
      <c r="P82" s="47" t="s">
        <v>877</v>
      </c>
      <c r="Q82" s="47" t="s">
        <v>179</v>
      </c>
      <c r="R82" s="48" t="s">
        <v>878</v>
      </c>
      <c r="S82" s="47" t="s">
        <v>65</v>
      </c>
      <c r="T82" s="47"/>
      <c r="U82" s="47"/>
      <c r="V82" s="47" t="s">
        <v>66</v>
      </c>
      <c r="W82" s="47" t="s">
        <v>67</v>
      </c>
      <c r="X82" s="47" t="s">
        <v>68</v>
      </c>
      <c r="Y82" s="47" t="s">
        <v>246</v>
      </c>
      <c r="Z82" s="47" t="s">
        <v>840</v>
      </c>
      <c r="AA82" s="47" t="s">
        <v>879</v>
      </c>
      <c r="AB82" s="47" t="s">
        <v>880</v>
      </c>
      <c r="AC82" s="47" t="s">
        <v>73</v>
      </c>
      <c r="AD82" s="47" t="s">
        <v>74</v>
      </c>
      <c r="AE82" s="49">
        <v>37165</v>
      </c>
      <c r="AF82" s="47" t="s">
        <v>139</v>
      </c>
      <c r="AG82" s="47"/>
      <c r="AH82" s="47" t="s">
        <v>157</v>
      </c>
      <c r="AI82" s="47" t="s">
        <v>250</v>
      </c>
      <c r="AJ82" s="47"/>
      <c r="AK82" s="47" t="s">
        <v>59</v>
      </c>
      <c r="AL82" s="47" t="s">
        <v>59</v>
      </c>
      <c r="AM82" s="47" t="s">
        <v>99</v>
      </c>
      <c r="AN82" s="47" t="s">
        <v>80</v>
      </c>
      <c r="AO82" s="47"/>
      <c r="AP82" s="47"/>
      <c r="AQ82" s="47" t="s">
        <v>81</v>
      </c>
      <c r="AR82" s="47"/>
      <c r="AS82" s="47" t="s">
        <v>173</v>
      </c>
      <c r="AT82" s="47" t="s">
        <v>250</v>
      </c>
      <c r="AU82" s="47"/>
      <c r="AV82" s="47"/>
      <c r="AW82" s="47"/>
      <c r="AX82" s="47"/>
      <c r="AY82" s="49"/>
      <c r="AZ82" s="47" t="s">
        <v>80</v>
      </c>
      <c r="BA82" s="47"/>
      <c r="BB82" s="47" t="s">
        <v>2359</v>
      </c>
      <c r="BC82" s="47" t="s">
        <v>2542</v>
      </c>
      <c r="BD82" s="47">
        <v>526494986</v>
      </c>
      <c r="BE82" s="50">
        <v>12504</v>
      </c>
      <c r="BF82" s="53">
        <v>1185000</v>
      </c>
    </row>
    <row r="83" spans="1:58" s="51" customFormat="1" ht="23.4" hidden="1" x14ac:dyDescent="0.25">
      <c r="A83" s="46">
        <v>82</v>
      </c>
      <c r="B83" s="47">
        <v>3654</v>
      </c>
      <c r="C83" s="47">
        <v>1634095</v>
      </c>
      <c r="D83" s="47" t="s">
        <v>881</v>
      </c>
      <c r="E83" s="47" t="s">
        <v>882</v>
      </c>
      <c r="F83" s="47" t="s">
        <v>883</v>
      </c>
      <c r="G83" s="47" t="str">
        <f>CONCATENATE(TRIM(الجدول2[[#This Row],[الاسم الأول]])," ",TRIM(الجدول2[[#This Row],[اسم الأب]])," ",TRIM(الجدول2[[#This Row],[الكنية]]))</f>
        <v>روز مالك الشماس</v>
      </c>
      <c r="H83" s="47" t="s">
        <v>884</v>
      </c>
      <c r="I83" s="48" t="s">
        <v>885</v>
      </c>
      <c r="J83" s="47" t="s">
        <v>58</v>
      </c>
      <c r="K83" s="47" t="s">
        <v>59</v>
      </c>
      <c r="L83" s="47" t="s">
        <v>59</v>
      </c>
      <c r="M83" s="47" t="s">
        <v>206</v>
      </c>
      <c r="N83" s="47" t="s">
        <v>59</v>
      </c>
      <c r="O83" s="49">
        <v>34744</v>
      </c>
      <c r="P83" s="47" t="s">
        <v>886</v>
      </c>
      <c r="Q83" s="47" t="s">
        <v>179</v>
      </c>
      <c r="R83" s="48" t="s">
        <v>887</v>
      </c>
      <c r="S83" s="47" t="s">
        <v>109</v>
      </c>
      <c r="T83" s="47"/>
      <c r="U83" s="47">
        <v>1</v>
      </c>
      <c r="V83" s="47" t="s">
        <v>66</v>
      </c>
      <c r="W83" s="47" t="s">
        <v>67</v>
      </c>
      <c r="X83" s="47" t="s">
        <v>68</v>
      </c>
      <c r="Y83" s="47" t="s">
        <v>233</v>
      </c>
      <c r="Z83" s="47" t="s">
        <v>409</v>
      </c>
      <c r="AA83" s="47"/>
      <c r="AB83" s="47" t="s">
        <v>72</v>
      </c>
      <c r="AC83" s="47" t="s">
        <v>73</v>
      </c>
      <c r="AD83" s="47" t="s">
        <v>74</v>
      </c>
      <c r="AE83" s="49">
        <v>45494</v>
      </c>
      <c r="AF83" s="47" t="s">
        <v>75</v>
      </c>
      <c r="AG83" s="47"/>
      <c r="AH83" s="47" t="s">
        <v>2277</v>
      </c>
      <c r="AI83" s="47" t="s">
        <v>76</v>
      </c>
      <c r="AJ83" s="47" t="s">
        <v>277</v>
      </c>
      <c r="AK83" s="47" t="s">
        <v>59</v>
      </c>
      <c r="AL83" s="47" t="s">
        <v>59</v>
      </c>
      <c r="AM83" s="47" t="s">
        <v>79</v>
      </c>
      <c r="AN83" s="47" t="s">
        <v>83</v>
      </c>
      <c r="AO83" s="47" t="s">
        <v>888</v>
      </c>
      <c r="AP83" s="47" t="s">
        <v>701</v>
      </c>
      <c r="AQ83" s="47" t="s">
        <v>81</v>
      </c>
      <c r="AR83" s="47"/>
      <c r="AS83" s="47" t="s">
        <v>82</v>
      </c>
      <c r="AT83" s="47" t="s">
        <v>76</v>
      </c>
      <c r="AU83" s="47" t="s">
        <v>83</v>
      </c>
      <c r="AV83" s="47" t="s">
        <v>184</v>
      </c>
      <c r="AW83" s="47" t="s">
        <v>566</v>
      </c>
      <c r="AX83" s="47" t="s">
        <v>833</v>
      </c>
      <c r="AY83" s="49">
        <v>44231</v>
      </c>
      <c r="AZ83" s="47" t="s">
        <v>80</v>
      </c>
      <c r="BA83" s="47"/>
      <c r="BB83" s="47" t="s">
        <v>2359</v>
      </c>
      <c r="BC83" s="47" t="s">
        <v>2542</v>
      </c>
      <c r="BD83" s="47">
        <v>523998313</v>
      </c>
      <c r="BE83" s="50">
        <v>5190</v>
      </c>
      <c r="BF83" s="53">
        <v>943000</v>
      </c>
    </row>
    <row r="84" spans="1:58" s="51" customFormat="1" ht="23.4" hidden="1" x14ac:dyDescent="0.25">
      <c r="A84" s="46">
        <v>83</v>
      </c>
      <c r="B84" s="47">
        <v>3686</v>
      </c>
      <c r="C84" s="47">
        <v>1558520</v>
      </c>
      <c r="D84" s="47" t="s">
        <v>889</v>
      </c>
      <c r="E84" s="47" t="s">
        <v>239</v>
      </c>
      <c r="F84" s="47" t="s">
        <v>890</v>
      </c>
      <c r="G84" s="47" t="str">
        <f>CONCATENATE(TRIM(الجدول2[[#This Row],[الاسم الأول]])," ",TRIM(الجدول2[[#This Row],[اسم الأب]])," ",TRIM(الجدول2[[#This Row],[الكنية]]))</f>
        <v>رونال حبيب لفلوف</v>
      </c>
      <c r="H84" s="47" t="s">
        <v>891</v>
      </c>
      <c r="I84" s="48" t="s">
        <v>892</v>
      </c>
      <c r="J84" s="47" t="s">
        <v>58</v>
      </c>
      <c r="K84" s="47" t="s">
        <v>59</v>
      </c>
      <c r="L84" s="47" t="s">
        <v>164</v>
      </c>
      <c r="M84" s="47" t="s">
        <v>893</v>
      </c>
      <c r="N84" s="47" t="s">
        <v>894</v>
      </c>
      <c r="O84" s="49">
        <v>34351</v>
      </c>
      <c r="P84" s="47" t="s">
        <v>895</v>
      </c>
      <c r="Q84" s="47" t="s">
        <v>179</v>
      </c>
      <c r="R84" s="48" t="s">
        <v>896</v>
      </c>
      <c r="S84" s="47" t="s">
        <v>109</v>
      </c>
      <c r="T84" s="47"/>
      <c r="U84" s="47">
        <v>1</v>
      </c>
      <c r="V84" s="47" t="s">
        <v>66</v>
      </c>
      <c r="W84" s="47" t="s">
        <v>67</v>
      </c>
      <c r="X84" s="47" t="s">
        <v>68</v>
      </c>
      <c r="Y84" s="47" t="s">
        <v>137</v>
      </c>
      <c r="Z84" s="47"/>
      <c r="AA84" s="47"/>
      <c r="AB84" s="47" t="s">
        <v>197</v>
      </c>
      <c r="AC84" s="47" t="s">
        <v>73</v>
      </c>
      <c r="AD84" s="47" t="s">
        <v>74</v>
      </c>
      <c r="AE84" s="49">
        <v>44287</v>
      </c>
      <c r="AF84" s="47" t="s">
        <v>75</v>
      </c>
      <c r="AG84" s="47"/>
      <c r="AH84" s="47" t="s">
        <v>2277</v>
      </c>
      <c r="AI84" s="47" t="s">
        <v>76</v>
      </c>
      <c r="AJ84" s="47" t="s">
        <v>897</v>
      </c>
      <c r="AK84" s="47" t="s">
        <v>59</v>
      </c>
      <c r="AL84" s="47" t="s">
        <v>164</v>
      </c>
      <c r="AM84" s="47" t="s">
        <v>99</v>
      </c>
      <c r="AN84" s="47" t="s">
        <v>80</v>
      </c>
      <c r="AO84" s="47"/>
      <c r="AP84" s="47"/>
      <c r="AQ84" s="47" t="s">
        <v>81</v>
      </c>
      <c r="AR84" s="47"/>
      <c r="AS84" s="47" t="s">
        <v>82</v>
      </c>
      <c r="AT84" s="47" t="s">
        <v>76</v>
      </c>
      <c r="AU84" s="47" t="s">
        <v>83</v>
      </c>
      <c r="AV84" s="47" t="s">
        <v>650</v>
      </c>
      <c r="AW84" s="47" t="s">
        <v>798</v>
      </c>
      <c r="AX84" s="47" t="s">
        <v>898</v>
      </c>
      <c r="AY84" s="49">
        <v>42955</v>
      </c>
      <c r="AZ84" s="47" t="s">
        <v>80</v>
      </c>
      <c r="BA84" s="47" t="s">
        <v>899</v>
      </c>
      <c r="BB84" s="47" t="s">
        <v>2358</v>
      </c>
      <c r="BC84" s="47" t="s">
        <v>2542</v>
      </c>
      <c r="BD84" s="47">
        <v>528051282</v>
      </c>
      <c r="BE84" s="50">
        <v>21750</v>
      </c>
      <c r="BF84" s="53">
        <v>1047462</v>
      </c>
    </row>
    <row r="85" spans="1:58" s="51" customFormat="1" ht="23.4" hidden="1" x14ac:dyDescent="0.25">
      <c r="A85" s="46">
        <v>84</v>
      </c>
      <c r="B85" s="47">
        <v>3745</v>
      </c>
      <c r="C85" s="47">
        <v>1634846</v>
      </c>
      <c r="D85" s="47" t="s">
        <v>900</v>
      </c>
      <c r="E85" s="47" t="s">
        <v>901</v>
      </c>
      <c r="F85" s="47" t="s">
        <v>902</v>
      </c>
      <c r="G85" s="47" t="str">
        <f>CONCATENATE(TRIM(الجدول2[[#This Row],[الاسم الأول]])," ",TRIM(الجدول2[[#This Row],[اسم الأب]])," ",TRIM(الجدول2[[#This Row],[الكنية]]))</f>
        <v>ريم جرجس نصار</v>
      </c>
      <c r="H85" s="47" t="s">
        <v>903</v>
      </c>
      <c r="I85" s="48" t="s">
        <v>904</v>
      </c>
      <c r="J85" s="47" t="s">
        <v>58</v>
      </c>
      <c r="K85" s="47" t="s">
        <v>59</v>
      </c>
      <c r="L85" s="47" t="s">
        <v>59</v>
      </c>
      <c r="M85" s="47" t="s">
        <v>60</v>
      </c>
      <c r="N85" s="47" t="s">
        <v>59</v>
      </c>
      <c r="O85" s="49">
        <v>31461</v>
      </c>
      <c r="P85" s="47" t="s">
        <v>905</v>
      </c>
      <c r="Q85" s="47" t="s">
        <v>179</v>
      </c>
      <c r="R85" s="48" t="s">
        <v>906</v>
      </c>
      <c r="S85" s="47" t="s">
        <v>109</v>
      </c>
      <c r="T85" s="47"/>
      <c r="U85" s="47">
        <v>2</v>
      </c>
      <c r="V85" s="47" t="s">
        <v>66</v>
      </c>
      <c r="W85" s="47" t="s">
        <v>67</v>
      </c>
      <c r="X85" s="47" t="s">
        <v>68</v>
      </c>
      <c r="Y85" s="47" t="s">
        <v>443</v>
      </c>
      <c r="Z85" s="47"/>
      <c r="AA85" s="47"/>
      <c r="AB85" s="47" t="s">
        <v>678</v>
      </c>
      <c r="AC85" s="47" t="s">
        <v>73</v>
      </c>
      <c r="AD85" s="47" t="s">
        <v>74</v>
      </c>
      <c r="AE85" s="49">
        <v>41293</v>
      </c>
      <c r="AF85" s="47" t="s">
        <v>123</v>
      </c>
      <c r="AG85" s="47"/>
      <c r="AH85" s="47" t="s">
        <v>124</v>
      </c>
      <c r="AI85" s="47" t="s">
        <v>182</v>
      </c>
      <c r="AJ85" s="47" t="s">
        <v>310</v>
      </c>
      <c r="AK85" s="47" t="s">
        <v>59</v>
      </c>
      <c r="AL85" s="47" t="s">
        <v>78</v>
      </c>
      <c r="AM85" s="47" t="s">
        <v>99</v>
      </c>
      <c r="AN85" s="47" t="s">
        <v>80</v>
      </c>
      <c r="AO85" s="47"/>
      <c r="AP85" s="47"/>
      <c r="AQ85" s="47" t="s">
        <v>81</v>
      </c>
      <c r="AR85" s="47"/>
      <c r="AS85" s="47" t="s">
        <v>173</v>
      </c>
      <c r="AT85" s="47" t="s">
        <v>182</v>
      </c>
      <c r="AU85" s="47" t="s">
        <v>83</v>
      </c>
      <c r="AV85" s="47" t="s">
        <v>425</v>
      </c>
      <c r="AW85" s="47" t="s">
        <v>185</v>
      </c>
      <c r="AX85" s="47" t="s">
        <v>907</v>
      </c>
      <c r="AY85" s="49">
        <v>38880</v>
      </c>
      <c r="AZ85" s="47" t="s">
        <v>80</v>
      </c>
      <c r="BA85" s="47"/>
      <c r="BB85" s="47" t="s">
        <v>2359</v>
      </c>
      <c r="BC85" s="47" t="s">
        <v>2542</v>
      </c>
      <c r="BD85" s="47">
        <v>526077039</v>
      </c>
      <c r="BE85" s="50">
        <v>10619</v>
      </c>
      <c r="BF85" s="53">
        <v>1243000</v>
      </c>
    </row>
    <row r="86" spans="1:58" s="51" customFormat="1" ht="23.4" x14ac:dyDescent="0.25">
      <c r="A86" s="46">
        <v>85</v>
      </c>
      <c r="B86" s="47">
        <v>3747</v>
      </c>
      <c r="C86" s="47">
        <v>1207408</v>
      </c>
      <c r="D86" s="47" t="s">
        <v>900</v>
      </c>
      <c r="E86" s="47" t="s">
        <v>55</v>
      </c>
      <c r="F86" s="47" t="s">
        <v>131</v>
      </c>
      <c r="G86" s="47" t="str">
        <f>CONCATENATE(TRIM(الجدول2[[#This Row],[الاسم الأول]])," ",TRIM(الجدول2[[#This Row],[اسم الأب]])," ",TRIM(الجدول2[[#This Row],[الكنية]]))</f>
        <v>ريم حسن علي</v>
      </c>
      <c r="H86" s="47" t="s">
        <v>908</v>
      </c>
      <c r="I86" s="48" t="s">
        <v>909</v>
      </c>
      <c r="J86" s="47" t="s">
        <v>58</v>
      </c>
      <c r="K86" s="47" t="s">
        <v>59</v>
      </c>
      <c r="L86" s="47" t="s">
        <v>59</v>
      </c>
      <c r="M86" s="47" t="s">
        <v>60</v>
      </c>
      <c r="N86" s="47" t="s">
        <v>910</v>
      </c>
      <c r="O86" s="49">
        <v>29756</v>
      </c>
      <c r="P86" s="47" t="s">
        <v>911</v>
      </c>
      <c r="Q86" s="47" t="s">
        <v>179</v>
      </c>
      <c r="R86" s="48" t="s">
        <v>912</v>
      </c>
      <c r="S86" s="47" t="s">
        <v>109</v>
      </c>
      <c r="T86" s="47"/>
      <c r="U86" s="47">
        <v>4</v>
      </c>
      <c r="V86" s="47" t="s">
        <v>66</v>
      </c>
      <c r="W86" s="47" t="s">
        <v>67</v>
      </c>
      <c r="X86" s="47" t="s">
        <v>68</v>
      </c>
      <c r="Y86" s="47" t="s">
        <v>797</v>
      </c>
      <c r="Z86" s="47"/>
      <c r="AA86" s="47"/>
      <c r="AB86" s="47" t="s">
        <v>72</v>
      </c>
      <c r="AC86" s="47" t="s">
        <v>73</v>
      </c>
      <c r="AD86" s="47" t="s">
        <v>1573</v>
      </c>
      <c r="AE86" s="49">
        <v>39271</v>
      </c>
      <c r="AF86" s="47" t="s">
        <v>75</v>
      </c>
      <c r="AG86" s="47"/>
      <c r="AH86" s="47" t="s">
        <v>2277</v>
      </c>
      <c r="AI86" s="47" t="s">
        <v>76</v>
      </c>
      <c r="AJ86" s="47" t="s">
        <v>505</v>
      </c>
      <c r="AK86" s="47" t="s">
        <v>59</v>
      </c>
      <c r="AL86" s="47" t="s">
        <v>59</v>
      </c>
      <c r="AM86" s="47" t="s">
        <v>99</v>
      </c>
      <c r="AN86" s="47" t="s">
        <v>80</v>
      </c>
      <c r="AO86" s="47"/>
      <c r="AP86" s="47"/>
      <c r="AQ86" s="47" t="s">
        <v>81</v>
      </c>
      <c r="AR86" s="47"/>
      <c r="AS86" s="47" t="s">
        <v>82</v>
      </c>
      <c r="AT86" s="47" t="s">
        <v>76</v>
      </c>
      <c r="AU86" s="47" t="s">
        <v>83</v>
      </c>
      <c r="AV86" s="47" t="s">
        <v>184</v>
      </c>
      <c r="AW86" s="47" t="s">
        <v>277</v>
      </c>
      <c r="AX86" s="47" t="s">
        <v>913</v>
      </c>
      <c r="AY86" s="49">
        <v>38552</v>
      </c>
      <c r="AZ86" s="47" t="s">
        <v>80</v>
      </c>
      <c r="BA86" s="47"/>
      <c r="BB86" s="47"/>
      <c r="BC86" s="47" t="s">
        <v>2542</v>
      </c>
      <c r="BD86" s="47">
        <v>526034974</v>
      </c>
      <c r="BE86" s="50">
        <v>9618</v>
      </c>
      <c r="BF86" s="53">
        <v>1409000</v>
      </c>
    </row>
    <row r="87" spans="1:58" s="51" customFormat="1" ht="23.4" hidden="1" x14ac:dyDescent="0.25">
      <c r="A87" s="46">
        <v>86</v>
      </c>
      <c r="B87" s="47">
        <v>3761</v>
      </c>
      <c r="C87" s="47">
        <v>1634091</v>
      </c>
      <c r="D87" s="47" t="s">
        <v>900</v>
      </c>
      <c r="E87" s="47" t="s">
        <v>914</v>
      </c>
      <c r="F87" s="47" t="s">
        <v>515</v>
      </c>
      <c r="G87" s="47" t="str">
        <f>CONCATENATE(TRIM(الجدول2[[#This Row],[الاسم الأول]])," ",TRIM(الجدول2[[#This Row],[اسم الأب]])," ",TRIM(الجدول2[[#This Row],[الكنية]]))</f>
        <v>ريم فرج حمود</v>
      </c>
      <c r="H87" s="47" t="s">
        <v>915</v>
      </c>
      <c r="I87" s="48" t="s">
        <v>916</v>
      </c>
      <c r="J87" s="47" t="s">
        <v>58</v>
      </c>
      <c r="K87" s="47" t="s">
        <v>59</v>
      </c>
      <c r="L87" s="47" t="s">
        <v>90</v>
      </c>
      <c r="M87" s="47" t="s">
        <v>298</v>
      </c>
      <c r="N87" s="47" t="s">
        <v>59</v>
      </c>
      <c r="O87" s="49">
        <v>35997</v>
      </c>
      <c r="P87" s="47" t="s">
        <v>917</v>
      </c>
      <c r="Q87" s="47" t="s">
        <v>179</v>
      </c>
      <c r="R87" s="48" t="s">
        <v>918</v>
      </c>
      <c r="S87" s="47" t="s">
        <v>65</v>
      </c>
      <c r="T87" s="47"/>
      <c r="U87" s="47"/>
      <c r="V87" s="47" t="s">
        <v>66</v>
      </c>
      <c r="W87" s="47" t="s">
        <v>67</v>
      </c>
      <c r="X87" s="47" t="s">
        <v>68</v>
      </c>
      <c r="Y87" s="47" t="s">
        <v>233</v>
      </c>
      <c r="Z87" s="47" t="s">
        <v>857</v>
      </c>
      <c r="AA87" s="47"/>
      <c r="AB87" s="47" t="s">
        <v>197</v>
      </c>
      <c r="AC87" s="47" t="s">
        <v>73</v>
      </c>
      <c r="AD87" s="47" t="s">
        <v>74</v>
      </c>
      <c r="AE87" s="49">
        <v>45494</v>
      </c>
      <c r="AF87" s="47" t="s">
        <v>75</v>
      </c>
      <c r="AG87" s="47"/>
      <c r="AH87" s="47" t="s">
        <v>2277</v>
      </c>
      <c r="AI87" s="47" t="s">
        <v>76</v>
      </c>
      <c r="AJ87" s="47" t="s">
        <v>277</v>
      </c>
      <c r="AK87" s="47" t="s">
        <v>59</v>
      </c>
      <c r="AL87" s="47" t="s">
        <v>90</v>
      </c>
      <c r="AM87" s="47" t="s">
        <v>99</v>
      </c>
      <c r="AN87" s="47" t="s">
        <v>80</v>
      </c>
      <c r="AO87" s="47"/>
      <c r="AP87" s="47"/>
      <c r="AQ87" s="47" t="s">
        <v>81</v>
      </c>
      <c r="AR87" s="47"/>
      <c r="AS87" s="47" t="s">
        <v>82</v>
      </c>
      <c r="AT87" s="47" t="s">
        <v>76</v>
      </c>
      <c r="AU87" s="47" t="s">
        <v>83</v>
      </c>
      <c r="AV87" s="47" t="s">
        <v>184</v>
      </c>
      <c r="AW87" s="47" t="s">
        <v>277</v>
      </c>
      <c r="AX87" s="47" t="s">
        <v>919</v>
      </c>
      <c r="AY87" s="49">
        <v>44439</v>
      </c>
      <c r="AZ87" s="47" t="s">
        <v>80</v>
      </c>
      <c r="BA87" s="47"/>
      <c r="BB87" s="47" t="s">
        <v>2359</v>
      </c>
      <c r="BC87" s="47" t="s">
        <v>2542</v>
      </c>
      <c r="BD87" s="47">
        <v>523965962</v>
      </c>
      <c r="BE87" s="50">
        <v>4929</v>
      </c>
      <c r="BF87" s="53">
        <v>943000</v>
      </c>
    </row>
    <row r="88" spans="1:58" s="51" customFormat="1" ht="23.4" hidden="1" x14ac:dyDescent="0.25">
      <c r="A88" s="46">
        <v>87</v>
      </c>
      <c r="B88" s="47">
        <v>3768</v>
      </c>
      <c r="C88" s="47">
        <v>1518151</v>
      </c>
      <c r="D88" s="47" t="s">
        <v>900</v>
      </c>
      <c r="E88" s="47" t="s">
        <v>115</v>
      </c>
      <c r="F88" s="47" t="s">
        <v>920</v>
      </c>
      <c r="G88" s="47" t="str">
        <f>CONCATENATE(TRIM(الجدول2[[#This Row],[الاسم الأول]])," ",TRIM(الجدول2[[#This Row],[اسم الأب]])," ",TRIM(الجدول2[[#This Row],[الكنية]]))</f>
        <v>ريم محمد سقر</v>
      </c>
      <c r="H88" s="47" t="s">
        <v>921</v>
      </c>
      <c r="I88" s="48" t="s">
        <v>922</v>
      </c>
      <c r="J88" s="47" t="s">
        <v>58</v>
      </c>
      <c r="K88" s="47" t="s">
        <v>732</v>
      </c>
      <c r="L88" s="47" t="s">
        <v>733</v>
      </c>
      <c r="M88" s="47" t="s">
        <v>734</v>
      </c>
      <c r="N88" s="47" t="s">
        <v>923</v>
      </c>
      <c r="O88" s="49">
        <v>33904</v>
      </c>
      <c r="P88" s="47" t="s">
        <v>924</v>
      </c>
      <c r="Q88" s="47" t="s">
        <v>179</v>
      </c>
      <c r="R88" s="48" t="s">
        <v>925</v>
      </c>
      <c r="S88" s="47" t="s">
        <v>109</v>
      </c>
      <c r="T88" s="47"/>
      <c r="U88" s="47">
        <v>0</v>
      </c>
      <c r="V88" s="47" t="s">
        <v>66</v>
      </c>
      <c r="W88" s="47" t="s">
        <v>67</v>
      </c>
      <c r="X88" s="47" t="s">
        <v>68</v>
      </c>
      <c r="Y88" s="47" t="s">
        <v>94</v>
      </c>
      <c r="Z88" s="47" t="s">
        <v>95</v>
      </c>
      <c r="AA88" s="47"/>
      <c r="AB88" s="47" t="s">
        <v>926</v>
      </c>
      <c r="AC88" s="47" t="s">
        <v>73</v>
      </c>
      <c r="AD88" s="47" t="s">
        <v>74</v>
      </c>
      <c r="AE88" s="49">
        <v>43912</v>
      </c>
      <c r="AF88" s="47" t="s">
        <v>290</v>
      </c>
      <c r="AG88" s="47"/>
      <c r="AH88" s="47" t="s">
        <v>2277</v>
      </c>
      <c r="AI88" s="47" t="s">
        <v>291</v>
      </c>
      <c r="AJ88" s="47" t="s">
        <v>927</v>
      </c>
      <c r="AK88" s="47" t="s">
        <v>59</v>
      </c>
      <c r="AL88" s="47" t="s">
        <v>59</v>
      </c>
      <c r="AM88" s="47" t="s">
        <v>79</v>
      </c>
      <c r="AN88" s="47" t="s">
        <v>80</v>
      </c>
      <c r="AO88" s="47"/>
      <c r="AP88" s="47"/>
      <c r="AQ88" s="47" t="s">
        <v>81</v>
      </c>
      <c r="AR88" s="47"/>
      <c r="AS88" s="47" t="s">
        <v>142</v>
      </c>
      <c r="AT88" s="47" t="s">
        <v>291</v>
      </c>
      <c r="AU88" s="47" t="s">
        <v>83</v>
      </c>
      <c r="AV88" s="47" t="s">
        <v>790</v>
      </c>
      <c r="AW88" s="47" t="s">
        <v>928</v>
      </c>
      <c r="AX88" s="47" t="s">
        <v>929</v>
      </c>
      <c r="AY88" s="49">
        <v>45691</v>
      </c>
      <c r="AZ88" s="47" t="s">
        <v>83</v>
      </c>
      <c r="BA88" s="47"/>
      <c r="BB88" s="47" t="s">
        <v>2359</v>
      </c>
      <c r="BC88" s="47" t="s">
        <v>2542</v>
      </c>
      <c r="BD88" s="47">
        <v>522392494</v>
      </c>
      <c r="BE88" s="50">
        <v>1041</v>
      </c>
      <c r="BF88" s="53">
        <v>1177020</v>
      </c>
    </row>
    <row r="89" spans="1:58" s="51" customFormat="1" ht="23.4" hidden="1" x14ac:dyDescent="0.25">
      <c r="A89" s="46">
        <v>88</v>
      </c>
      <c r="B89" s="47">
        <v>3771</v>
      </c>
      <c r="C89" s="47">
        <v>1419551</v>
      </c>
      <c r="D89" s="47" t="s">
        <v>900</v>
      </c>
      <c r="E89" s="47" t="s">
        <v>930</v>
      </c>
      <c r="F89" s="47" t="s">
        <v>160</v>
      </c>
      <c r="G89" s="47" t="str">
        <f>CONCATENATE(TRIM(الجدول2[[#This Row],[الاسم الأول]])," ",TRIM(الجدول2[[#This Row],[اسم الأب]])," ",TRIM(الجدول2[[#This Row],[الكنية]]))</f>
        <v>ريم مصطفى صالح</v>
      </c>
      <c r="H89" s="47" t="s">
        <v>931</v>
      </c>
      <c r="I89" s="48" t="s">
        <v>932</v>
      </c>
      <c r="J89" s="47" t="s">
        <v>58</v>
      </c>
      <c r="K89" s="47" t="s">
        <v>59</v>
      </c>
      <c r="L89" s="47" t="s">
        <v>105</v>
      </c>
      <c r="M89" s="47" t="s">
        <v>518</v>
      </c>
      <c r="N89" s="47" t="s">
        <v>518</v>
      </c>
      <c r="O89" s="49">
        <v>30152</v>
      </c>
      <c r="P89" s="47" t="s">
        <v>933</v>
      </c>
      <c r="Q89" s="47" t="s">
        <v>179</v>
      </c>
      <c r="R89" s="48" t="s">
        <v>934</v>
      </c>
      <c r="S89" s="47" t="s">
        <v>418</v>
      </c>
      <c r="T89" s="47"/>
      <c r="U89" s="47">
        <v>2</v>
      </c>
      <c r="V89" s="47" t="s">
        <v>66</v>
      </c>
      <c r="W89" s="47" t="s">
        <v>67</v>
      </c>
      <c r="X89" s="47" t="s">
        <v>68</v>
      </c>
      <c r="Y89" s="47" t="s">
        <v>935</v>
      </c>
      <c r="Z89" s="47"/>
      <c r="AA89" s="47"/>
      <c r="AB89" s="47" t="s">
        <v>936</v>
      </c>
      <c r="AC89" s="47" t="s">
        <v>73</v>
      </c>
      <c r="AD89" s="47" t="s">
        <v>74</v>
      </c>
      <c r="AE89" s="49">
        <v>41358</v>
      </c>
      <c r="AF89" s="47" t="s">
        <v>123</v>
      </c>
      <c r="AG89" s="47"/>
      <c r="AH89" s="47" t="s">
        <v>2277</v>
      </c>
      <c r="AI89" s="47" t="s">
        <v>291</v>
      </c>
      <c r="AJ89" s="47" t="s">
        <v>937</v>
      </c>
      <c r="AK89" s="47" t="s">
        <v>59</v>
      </c>
      <c r="AL89" s="47" t="s">
        <v>59</v>
      </c>
      <c r="AM89" s="47" t="s">
        <v>79</v>
      </c>
      <c r="AN89" s="47" t="s">
        <v>80</v>
      </c>
      <c r="AO89" s="47"/>
      <c r="AP89" s="47"/>
      <c r="AQ89" s="47" t="s">
        <v>81</v>
      </c>
      <c r="AR89" s="47"/>
      <c r="AS89" s="47" t="s">
        <v>82</v>
      </c>
      <c r="AT89" s="47" t="s">
        <v>291</v>
      </c>
      <c r="AU89" s="47" t="s">
        <v>83</v>
      </c>
      <c r="AV89" s="47" t="s">
        <v>61</v>
      </c>
      <c r="AW89" s="47" t="s">
        <v>938</v>
      </c>
      <c r="AX89" s="47" t="s">
        <v>939</v>
      </c>
      <c r="AY89" s="49">
        <v>43799</v>
      </c>
      <c r="AZ89" s="47" t="s">
        <v>83</v>
      </c>
      <c r="BA89" s="47"/>
      <c r="BB89" s="47" t="s">
        <v>2359</v>
      </c>
      <c r="BC89" s="47" t="s">
        <v>2542</v>
      </c>
      <c r="BD89" s="47">
        <v>524063668</v>
      </c>
      <c r="BE89" s="50">
        <v>5791</v>
      </c>
      <c r="BF89" s="53">
        <v>1265472</v>
      </c>
    </row>
    <row r="90" spans="1:58" s="51" customFormat="1" ht="23.4" hidden="1" x14ac:dyDescent="0.25">
      <c r="A90" s="46">
        <v>89</v>
      </c>
      <c r="B90" s="47">
        <v>3783</v>
      </c>
      <c r="C90" s="47"/>
      <c r="D90" s="47" t="s">
        <v>940</v>
      </c>
      <c r="E90" s="47" t="s">
        <v>741</v>
      </c>
      <c r="F90" s="47" t="s">
        <v>941</v>
      </c>
      <c r="G90" s="47" t="str">
        <f>CONCATENATE(TRIM(الجدول2[[#This Row],[الاسم الأول]])," ",TRIM(الجدول2[[#This Row],[اسم الأب]])," ",TRIM(الجدول2[[#This Row],[الكنية]]))</f>
        <v>ريما غسان بلال</v>
      </c>
      <c r="H90" s="47" t="s">
        <v>942</v>
      </c>
      <c r="I90" s="48" t="s">
        <v>943</v>
      </c>
      <c r="J90" s="47" t="s">
        <v>58</v>
      </c>
      <c r="K90" s="47" t="s">
        <v>59</v>
      </c>
      <c r="L90" s="47" t="s">
        <v>90</v>
      </c>
      <c r="M90" s="47" t="s">
        <v>298</v>
      </c>
      <c r="N90" s="47" t="s">
        <v>61</v>
      </c>
      <c r="O90" s="49">
        <v>27769</v>
      </c>
      <c r="P90" s="47" t="s">
        <v>944</v>
      </c>
      <c r="Q90" s="47" t="s">
        <v>179</v>
      </c>
      <c r="R90" s="48" t="s">
        <v>945</v>
      </c>
      <c r="S90" s="47" t="s">
        <v>65</v>
      </c>
      <c r="T90" s="47"/>
      <c r="U90" s="47"/>
      <c r="V90" s="47" t="s">
        <v>66</v>
      </c>
      <c r="W90" s="47" t="s">
        <v>67</v>
      </c>
      <c r="X90" s="47" t="s">
        <v>68</v>
      </c>
      <c r="Y90" s="47" t="s">
        <v>210</v>
      </c>
      <c r="Z90" s="47" t="s">
        <v>822</v>
      </c>
      <c r="AA90" s="47" t="s">
        <v>946</v>
      </c>
      <c r="AB90" s="47" t="s">
        <v>947</v>
      </c>
      <c r="AC90" s="47" t="s">
        <v>155</v>
      </c>
      <c r="AD90" s="47" t="s">
        <v>74</v>
      </c>
      <c r="AE90" s="49">
        <v>44053</v>
      </c>
      <c r="AF90" s="47" t="s">
        <v>123</v>
      </c>
      <c r="AG90" s="47"/>
      <c r="AH90" s="47" t="s">
        <v>157</v>
      </c>
      <c r="AI90" s="47" t="s">
        <v>143</v>
      </c>
      <c r="AJ90" s="47"/>
      <c r="AK90" s="47" t="s">
        <v>59</v>
      </c>
      <c r="AL90" s="47" t="s">
        <v>90</v>
      </c>
      <c r="AM90" s="47" t="s">
        <v>99</v>
      </c>
      <c r="AN90" s="47" t="s">
        <v>80</v>
      </c>
      <c r="AO90" s="47"/>
      <c r="AP90" s="47"/>
      <c r="AQ90" s="47" t="s">
        <v>81</v>
      </c>
      <c r="AR90" s="47"/>
      <c r="AS90" s="47" t="s">
        <v>446</v>
      </c>
      <c r="AT90" s="47" t="s">
        <v>143</v>
      </c>
      <c r="AU90" s="47" t="s">
        <v>83</v>
      </c>
      <c r="AV90" s="47"/>
      <c r="AW90" s="47"/>
      <c r="AX90" s="47"/>
      <c r="AY90" s="49">
        <v>33077</v>
      </c>
      <c r="AZ90" s="47" t="s">
        <v>80</v>
      </c>
      <c r="BA90" s="47"/>
      <c r="BB90" s="47" t="s">
        <v>2359</v>
      </c>
      <c r="BC90" s="47" t="s">
        <v>2542</v>
      </c>
      <c r="BD90" s="47">
        <v>523295468</v>
      </c>
      <c r="BE90" s="50">
        <v>3660</v>
      </c>
      <c r="BF90" s="53">
        <v>1001241</v>
      </c>
    </row>
    <row r="91" spans="1:58" s="51" customFormat="1" ht="23.4" hidden="1" x14ac:dyDescent="0.25">
      <c r="A91" s="46">
        <v>90</v>
      </c>
      <c r="B91" s="47">
        <v>3786</v>
      </c>
      <c r="C91" s="47"/>
      <c r="D91" s="47" t="s">
        <v>940</v>
      </c>
      <c r="E91" s="47" t="s">
        <v>115</v>
      </c>
      <c r="F91" s="47" t="s">
        <v>948</v>
      </c>
      <c r="G91" s="47" t="str">
        <f>CONCATENATE(TRIM(الجدول2[[#This Row],[الاسم الأول]])," ",TRIM(الجدول2[[#This Row],[اسم الأب]])," ",TRIM(الجدول2[[#This Row],[الكنية]]))</f>
        <v>ريما محمد شوباصي</v>
      </c>
      <c r="H91" s="47" t="s">
        <v>949</v>
      </c>
      <c r="I91" s="48" t="s">
        <v>950</v>
      </c>
      <c r="J91" s="47" t="s">
        <v>58</v>
      </c>
      <c r="K91" s="47" t="s">
        <v>59</v>
      </c>
      <c r="L91" s="47" t="s">
        <v>59</v>
      </c>
      <c r="M91" s="47" t="s">
        <v>60</v>
      </c>
      <c r="N91" s="47" t="s">
        <v>744</v>
      </c>
      <c r="O91" s="49">
        <v>28738</v>
      </c>
      <c r="P91" s="47" t="s">
        <v>951</v>
      </c>
      <c r="Q91" s="47" t="s">
        <v>179</v>
      </c>
      <c r="R91" s="48" t="s">
        <v>952</v>
      </c>
      <c r="S91" s="47" t="s">
        <v>109</v>
      </c>
      <c r="T91" s="47"/>
      <c r="U91" s="47">
        <v>6</v>
      </c>
      <c r="V91" s="47" t="s">
        <v>66</v>
      </c>
      <c r="W91" s="47" t="s">
        <v>67</v>
      </c>
      <c r="X91" s="47" t="s">
        <v>68</v>
      </c>
      <c r="Y91" s="47" t="s">
        <v>953</v>
      </c>
      <c r="Z91" s="47"/>
      <c r="AA91" s="47"/>
      <c r="AB91" s="47" t="s">
        <v>642</v>
      </c>
      <c r="AC91" s="47" t="s">
        <v>155</v>
      </c>
      <c r="AD91" s="47" t="s">
        <v>74</v>
      </c>
      <c r="AE91" s="49">
        <v>43905</v>
      </c>
      <c r="AF91" s="47" t="s">
        <v>123</v>
      </c>
      <c r="AG91" s="47"/>
      <c r="AH91" s="47" t="s">
        <v>140</v>
      </c>
      <c r="AI91" s="47" t="s">
        <v>143</v>
      </c>
      <c r="AJ91" s="47"/>
      <c r="AK91" s="47" t="s">
        <v>59</v>
      </c>
      <c r="AL91" s="47" t="s">
        <v>59</v>
      </c>
      <c r="AM91" s="47" t="s">
        <v>99</v>
      </c>
      <c r="AN91" s="47" t="s">
        <v>80</v>
      </c>
      <c r="AO91" s="47"/>
      <c r="AP91" s="47"/>
      <c r="AQ91" s="47" t="s">
        <v>81</v>
      </c>
      <c r="AR91" s="47"/>
      <c r="AS91" s="47" t="s">
        <v>368</v>
      </c>
      <c r="AT91" s="47" t="s">
        <v>143</v>
      </c>
      <c r="AU91" s="47" t="s">
        <v>83</v>
      </c>
      <c r="AV91" s="47"/>
      <c r="AW91" s="47"/>
      <c r="AX91" s="47"/>
      <c r="AY91" s="49">
        <v>34538</v>
      </c>
      <c r="AZ91" s="47" t="s">
        <v>80</v>
      </c>
      <c r="BA91" s="47"/>
      <c r="BB91" s="47" t="s">
        <v>2359</v>
      </c>
      <c r="BC91" s="47" t="s">
        <v>2542</v>
      </c>
      <c r="BD91" s="47">
        <v>523078674</v>
      </c>
      <c r="BE91" s="50">
        <v>1989</v>
      </c>
      <c r="BF91" s="53">
        <v>994128</v>
      </c>
    </row>
    <row r="92" spans="1:58" s="51" customFormat="1" ht="23.4" hidden="1" x14ac:dyDescent="0.25">
      <c r="A92" s="46">
        <v>91</v>
      </c>
      <c r="B92" s="47">
        <v>3884</v>
      </c>
      <c r="C92" s="47">
        <v>1631087</v>
      </c>
      <c r="D92" s="47" t="s">
        <v>954</v>
      </c>
      <c r="E92" s="47" t="s">
        <v>115</v>
      </c>
      <c r="F92" s="47" t="s">
        <v>955</v>
      </c>
      <c r="G92" s="47" t="str">
        <f>CONCATENATE(TRIM(الجدول2[[#This Row],[الاسم الأول]])," ",TRIM(الجدول2[[#This Row],[اسم الأب]])," ",TRIM(الجدول2[[#This Row],[الكنية]]))</f>
        <v>زويا محمد حمادي</v>
      </c>
      <c r="H92" s="47" t="s">
        <v>956</v>
      </c>
      <c r="I92" s="48" t="s">
        <v>957</v>
      </c>
      <c r="J92" s="47" t="s">
        <v>58</v>
      </c>
      <c r="K92" s="47" t="s">
        <v>59</v>
      </c>
      <c r="L92" s="47" t="s">
        <v>59</v>
      </c>
      <c r="M92" s="47" t="s">
        <v>60</v>
      </c>
      <c r="N92" s="47" t="s">
        <v>958</v>
      </c>
      <c r="O92" s="49">
        <v>32195</v>
      </c>
      <c r="P92" s="47" t="s">
        <v>959</v>
      </c>
      <c r="Q92" s="47" t="s">
        <v>179</v>
      </c>
      <c r="R92" s="48" t="s">
        <v>960</v>
      </c>
      <c r="S92" s="47" t="s">
        <v>109</v>
      </c>
      <c r="T92" s="47"/>
      <c r="U92" s="47">
        <v>4</v>
      </c>
      <c r="V92" s="47" t="s">
        <v>66</v>
      </c>
      <c r="W92" s="47" t="s">
        <v>67</v>
      </c>
      <c r="X92" s="47" t="s">
        <v>68</v>
      </c>
      <c r="Y92" s="47" t="s">
        <v>137</v>
      </c>
      <c r="Z92" s="47"/>
      <c r="AA92" s="47"/>
      <c r="AB92" s="47" t="s">
        <v>289</v>
      </c>
      <c r="AC92" s="47" t="s">
        <v>73</v>
      </c>
      <c r="AD92" s="47" t="s">
        <v>74</v>
      </c>
      <c r="AE92" s="49">
        <v>41294</v>
      </c>
      <c r="AF92" s="47" t="s">
        <v>123</v>
      </c>
      <c r="AG92" s="47"/>
      <c r="AH92" s="47" t="s">
        <v>124</v>
      </c>
      <c r="AI92" s="47" t="s">
        <v>182</v>
      </c>
      <c r="AJ92" s="47" t="s">
        <v>961</v>
      </c>
      <c r="AK92" s="47" t="s">
        <v>59</v>
      </c>
      <c r="AL92" s="47" t="s">
        <v>59</v>
      </c>
      <c r="AM92" s="47" t="s">
        <v>99</v>
      </c>
      <c r="AN92" s="47" t="s">
        <v>80</v>
      </c>
      <c r="AO92" s="47"/>
      <c r="AP92" s="47"/>
      <c r="AQ92" s="47" t="s">
        <v>81</v>
      </c>
      <c r="AR92" s="47"/>
      <c r="AS92" s="47" t="s">
        <v>82</v>
      </c>
      <c r="AT92" s="47" t="s">
        <v>182</v>
      </c>
      <c r="AU92" s="47" t="s">
        <v>83</v>
      </c>
      <c r="AV92" s="47" t="s">
        <v>184</v>
      </c>
      <c r="AW92" s="47" t="s">
        <v>185</v>
      </c>
      <c r="AX92" s="47" t="s">
        <v>181</v>
      </c>
      <c r="AY92" s="49">
        <v>39692</v>
      </c>
      <c r="AZ92" s="47" t="s">
        <v>80</v>
      </c>
      <c r="BA92" s="47" t="s">
        <v>962</v>
      </c>
      <c r="BB92" s="47" t="s">
        <v>2358</v>
      </c>
      <c r="BC92" s="47" t="s">
        <v>2542</v>
      </c>
      <c r="BD92" s="47">
        <v>526116361</v>
      </c>
      <c r="BE92" s="50">
        <v>11253</v>
      </c>
      <c r="BF92" s="53">
        <v>1243000</v>
      </c>
    </row>
    <row r="93" spans="1:58" s="51" customFormat="1" ht="23.4" hidden="1" x14ac:dyDescent="0.25">
      <c r="A93" s="46">
        <v>92</v>
      </c>
      <c r="B93" s="47">
        <v>3899</v>
      </c>
      <c r="C93" s="47">
        <v>1634871</v>
      </c>
      <c r="D93" s="47" t="s">
        <v>963</v>
      </c>
      <c r="E93" s="47" t="s">
        <v>334</v>
      </c>
      <c r="F93" s="47" t="s">
        <v>131</v>
      </c>
      <c r="G93" s="47" t="str">
        <f>CONCATENATE(TRIM(الجدول2[[#This Row],[الاسم الأول]])," ",TRIM(الجدول2[[#This Row],[اسم الأب]])," ",TRIM(الجدول2[[#This Row],[الكنية]]))</f>
        <v>زياد سلمان علي</v>
      </c>
      <c r="H93" s="47" t="s">
        <v>964</v>
      </c>
      <c r="I93" s="48" t="s">
        <v>965</v>
      </c>
      <c r="J93" s="47" t="s">
        <v>58</v>
      </c>
      <c r="K93" s="47" t="s">
        <v>59</v>
      </c>
      <c r="L93" s="47" t="s">
        <v>59</v>
      </c>
      <c r="M93" s="47" t="s">
        <v>60</v>
      </c>
      <c r="N93" s="47" t="s">
        <v>59</v>
      </c>
      <c r="O93" s="49">
        <v>31551</v>
      </c>
      <c r="P93" s="47" t="s">
        <v>966</v>
      </c>
      <c r="Q93" s="47" t="s">
        <v>63</v>
      </c>
      <c r="R93" s="48" t="s">
        <v>967</v>
      </c>
      <c r="S93" s="47" t="s">
        <v>109</v>
      </c>
      <c r="T93" s="47">
        <v>1</v>
      </c>
      <c r="U93" s="47">
        <v>3</v>
      </c>
      <c r="V93" s="47" t="s">
        <v>66</v>
      </c>
      <c r="W93" s="47" t="s">
        <v>67</v>
      </c>
      <c r="X93" s="47" t="s">
        <v>68</v>
      </c>
      <c r="Y93" s="47" t="s">
        <v>797</v>
      </c>
      <c r="Z93" s="47"/>
      <c r="AA93" s="47"/>
      <c r="AB93" s="47" t="s">
        <v>181</v>
      </c>
      <c r="AC93" s="47" t="s">
        <v>73</v>
      </c>
      <c r="AD93" s="47" t="s">
        <v>74</v>
      </c>
      <c r="AE93" s="49">
        <v>41294</v>
      </c>
      <c r="AF93" s="47" t="s">
        <v>968</v>
      </c>
      <c r="AG93" s="47"/>
      <c r="AH93" s="47" t="s">
        <v>124</v>
      </c>
      <c r="AI93" s="47" t="s">
        <v>182</v>
      </c>
      <c r="AJ93" s="47" t="s">
        <v>185</v>
      </c>
      <c r="AK93" s="47" t="s">
        <v>59</v>
      </c>
      <c r="AL93" s="47" t="s">
        <v>59</v>
      </c>
      <c r="AM93" s="47" t="s">
        <v>99</v>
      </c>
      <c r="AN93" s="47" t="s">
        <v>83</v>
      </c>
      <c r="AO93" s="47" t="s">
        <v>969</v>
      </c>
      <c r="AP93" s="47" t="s">
        <v>970</v>
      </c>
      <c r="AQ93" s="47" t="s">
        <v>81</v>
      </c>
      <c r="AR93" s="47"/>
      <c r="AS93" s="47" t="s">
        <v>236</v>
      </c>
      <c r="AT93" s="47" t="s">
        <v>182</v>
      </c>
      <c r="AU93" s="47" t="s">
        <v>83</v>
      </c>
      <c r="AV93" s="47" t="s">
        <v>425</v>
      </c>
      <c r="AW93" s="47" t="s">
        <v>185</v>
      </c>
      <c r="AX93" s="47" t="s">
        <v>971</v>
      </c>
      <c r="AY93" s="49">
        <v>39308</v>
      </c>
      <c r="AZ93" s="47" t="s">
        <v>80</v>
      </c>
      <c r="BA93" s="47"/>
      <c r="BB93" s="47" t="s">
        <v>2359</v>
      </c>
      <c r="BC93" s="47" t="s">
        <v>2542</v>
      </c>
      <c r="BD93" s="47">
        <v>526052919</v>
      </c>
      <c r="BE93" s="50">
        <v>10121</v>
      </c>
      <c r="BF93" s="53">
        <v>1243000</v>
      </c>
    </row>
    <row r="94" spans="1:58" s="51" customFormat="1" ht="23.4" hidden="1" x14ac:dyDescent="0.25">
      <c r="A94" s="46">
        <v>93</v>
      </c>
      <c r="B94" s="47">
        <v>3925</v>
      </c>
      <c r="C94" s="47">
        <v>1330139</v>
      </c>
      <c r="D94" s="47" t="s">
        <v>963</v>
      </c>
      <c r="E94" s="47" t="s">
        <v>972</v>
      </c>
      <c r="F94" s="47" t="s">
        <v>817</v>
      </c>
      <c r="G94" s="47" t="str">
        <f>CONCATENATE(TRIM(الجدول2[[#This Row],[الاسم الأول]])," ",TRIM(الجدول2[[#This Row],[اسم الأب]])," ",TRIM(الجدول2[[#This Row],[الكنية]]))</f>
        <v>زياد مفيد مرهج</v>
      </c>
      <c r="H94" s="47" t="s">
        <v>973</v>
      </c>
      <c r="I94" s="48" t="s">
        <v>974</v>
      </c>
      <c r="J94" s="47" t="s">
        <v>58</v>
      </c>
      <c r="K94" s="47" t="s">
        <v>59</v>
      </c>
      <c r="L94" s="47" t="s">
        <v>59</v>
      </c>
      <c r="M94" s="47" t="s">
        <v>60</v>
      </c>
      <c r="N94" s="47" t="s">
        <v>59</v>
      </c>
      <c r="O94" s="49">
        <v>29059</v>
      </c>
      <c r="P94" s="47" t="s">
        <v>975</v>
      </c>
      <c r="Q94" s="47" t="s">
        <v>63</v>
      </c>
      <c r="R94" s="48" t="s">
        <v>976</v>
      </c>
      <c r="S94" s="47" t="s">
        <v>109</v>
      </c>
      <c r="T94" s="47">
        <v>1</v>
      </c>
      <c r="U94" s="47">
        <v>2</v>
      </c>
      <c r="V94" s="47" t="s">
        <v>66</v>
      </c>
      <c r="W94" s="47" t="s">
        <v>67</v>
      </c>
      <c r="X94" s="47" t="s">
        <v>68</v>
      </c>
      <c r="Y94" s="47" t="s">
        <v>977</v>
      </c>
      <c r="Z94" s="47"/>
      <c r="AA94" s="47"/>
      <c r="AB94" s="47" t="s">
        <v>122</v>
      </c>
      <c r="AC94" s="47" t="s">
        <v>73</v>
      </c>
      <c r="AD94" s="47" t="s">
        <v>74</v>
      </c>
      <c r="AE94" s="49">
        <v>38691</v>
      </c>
      <c r="AF94" s="47" t="s">
        <v>123</v>
      </c>
      <c r="AG94" s="47"/>
      <c r="AH94" s="47" t="s">
        <v>2277</v>
      </c>
      <c r="AI94" s="47" t="s">
        <v>327</v>
      </c>
      <c r="AJ94" s="47" t="s">
        <v>686</v>
      </c>
      <c r="AK94" s="47" t="s">
        <v>59</v>
      </c>
      <c r="AL94" s="47" t="s">
        <v>59</v>
      </c>
      <c r="AM94" s="47" t="s">
        <v>99</v>
      </c>
      <c r="AN94" s="47" t="s">
        <v>83</v>
      </c>
      <c r="AO94" s="47" t="s">
        <v>978</v>
      </c>
      <c r="AP94" s="47" t="s">
        <v>127</v>
      </c>
      <c r="AQ94" s="47" t="s">
        <v>81</v>
      </c>
      <c r="AR94" s="47"/>
      <c r="AS94" s="47" t="s">
        <v>82</v>
      </c>
      <c r="AT94" s="47" t="s">
        <v>327</v>
      </c>
      <c r="AU94" s="47" t="s">
        <v>83</v>
      </c>
      <c r="AV94" s="47" t="s">
        <v>425</v>
      </c>
      <c r="AW94" s="47" t="s">
        <v>711</v>
      </c>
      <c r="AX94" s="47" t="s">
        <v>787</v>
      </c>
      <c r="AY94" s="49">
        <v>44262</v>
      </c>
      <c r="AZ94" s="47" t="s">
        <v>80</v>
      </c>
      <c r="BA94" s="47"/>
      <c r="BB94" s="47" t="s">
        <v>2359</v>
      </c>
      <c r="BC94" s="47" t="s">
        <v>2542</v>
      </c>
      <c r="BD94" s="47">
        <v>526013022</v>
      </c>
      <c r="BE94" s="50">
        <v>8948</v>
      </c>
      <c r="BF94" s="53">
        <v>1409000</v>
      </c>
    </row>
    <row r="95" spans="1:58" s="51" customFormat="1" ht="23.4" hidden="1" x14ac:dyDescent="0.25">
      <c r="A95" s="46">
        <v>94</v>
      </c>
      <c r="B95" s="47">
        <v>3967</v>
      </c>
      <c r="C95" s="47"/>
      <c r="D95" s="47" t="s">
        <v>979</v>
      </c>
      <c r="E95" s="47" t="s">
        <v>826</v>
      </c>
      <c r="F95" s="47" t="s">
        <v>980</v>
      </c>
      <c r="G95" s="47" t="str">
        <f>CONCATENATE(TRIM(الجدول2[[#This Row],[الاسم الأول]])," ",TRIM(الجدول2[[#This Row],[اسم الأب]])," ",TRIM(الجدول2[[#This Row],[الكنية]]))</f>
        <v>زينب نديم خضور</v>
      </c>
      <c r="H95" s="47" t="s">
        <v>981</v>
      </c>
      <c r="I95" s="48" t="s">
        <v>982</v>
      </c>
      <c r="J95" s="47" t="s">
        <v>58</v>
      </c>
      <c r="K95" s="47" t="s">
        <v>59</v>
      </c>
      <c r="L95" s="47" t="s">
        <v>59</v>
      </c>
      <c r="M95" s="47" t="s">
        <v>60</v>
      </c>
      <c r="N95" s="47" t="s">
        <v>61</v>
      </c>
      <c r="O95" s="49">
        <v>32995</v>
      </c>
      <c r="P95" s="47" t="s">
        <v>983</v>
      </c>
      <c r="Q95" s="47" t="s">
        <v>179</v>
      </c>
      <c r="R95" s="48" t="s">
        <v>984</v>
      </c>
      <c r="S95" s="47" t="s">
        <v>109</v>
      </c>
      <c r="T95" s="47"/>
      <c r="U95" s="47">
        <v>3</v>
      </c>
      <c r="V95" s="47" t="s">
        <v>66</v>
      </c>
      <c r="W95" s="47" t="s">
        <v>67</v>
      </c>
      <c r="X95" s="47" t="s">
        <v>68</v>
      </c>
      <c r="Y95" s="47" t="s">
        <v>443</v>
      </c>
      <c r="Z95" s="47"/>
      <c r="AA95" s="47"/>
      <c r="AB95" s="47" t="s">
        <v>642</v>
      </c>
      <c r="AC95" s="47" t="s">
        <v>155</v>
      </c>
      <c r="AD95" s="47" t="s">
        <v>74</v>
      </c>
      <c r="AE95" s="49">
        <v>43905</v>
      </c>
      <c r="AF95" s="47" t="s">
        <v>123</v>
      </c>
      <c r="AG95" s="47"/>
      <c r="AH95" s="47" t="s">
        <v>140</v>
      </c>
      <c r="AI95" s="47" t="s">
        <v>143</v>
      </c>
      <c r="AJ95" s="47"/>
      <c r="AK95" s="47" t="s">
        <v>59</v>
      </c>
      <c r="AL95" s="47" t="s">
        <v>59</v>
      </c>
      <c r="AM95" s="47" t="s">
        <v>79</v>
      </c>
      <c r="AN95" s="47" t="s">
        <v>80</v>
      </c>
      <c r="AO95" s="47"/>
      <c r="AP95" s="47"/>
      <c r="AQ95" s="47" t="s">
        <v>81</v>
      </c>
      <c r="AR95" s="47"/>
      <c r="AS95" s="47" t="s">
        <v>82</v>
      </c>
      <c r="AT95" s="47" t="s">
        <v>143</v>
      </c>
      <c r="AU95" s="47" t="s">
        <v>83</v>
      </c>
      <c r="AV95" s="47"/>
      <c r="AW95" s="47"/>
      <c r="AX95" s="47"/>
      <c r="AY95" s="49">
        <v>38921</v>
      </c>
      <c r="AZ95" s="47" t="s">
        <v>80</v>
      </c>
      <c r="BA95" s="47"/>
      <c r="BB95" s="47" t="s">
        <v>2359</v>
      </c>
      <c r="BC95" s="47" t="s">
        <v>2542</v>
      </c>
      <c r="BD95" s="47">
        <v>523086813</v>
      </c>
      <c r="BE95" s="50">
        <v>2077</v>
      </c>
      <c r="BF95" s="53">
        <v>994128</v>
      </c>
    </row>
    <row r="96" spans="1:58" s="51" customFormat="1" ht="23.4" hidden="1" x14ac:dyDescent="0.25">
      <c r="A96" s="46">
        <v>95</v>
      </c>
      <c r="B96" s="47">
        <v>3978</v>
      </c>
      <c r="C96" s="47">
        <v>1588344</v>
      </c>
      <c r="D96" s="47" t="s">
        <v>985</v>
      </c>
      <c r="E96" s="47" t="s">
        <v>115</v>
      </c>
      <c r="F96" s="47" t="s">
        <v>116</v>
      </c>
      <c r="G96" s="47" t="str">
        <f>CONCATENATE(TRIM(الجدول2[[#This Row],[الاسم الأول]])," ",TRIM(الجدول2[[#This Row],[اسم الأب]])," ",TRIM(الجدول2[[#This Row],[الكنية]]))</f>
        <v>زينة محمد يوسف</v>
      </c>
      <c r="H96" s="47" t="s">
        <v>986</v>
      </c>
      <c r="I96" s="48" t="s">
        <v>987</v>
      </c>
      <c r="J96" s="47" t="s">
        <v>58</v>
      </c>
      <c r="K96" s="47" t="s">
        <v>59</v>
      </c>
      <c r="L96" s="47" t="s">
        <v>59</v>
      </c>
      <c r="M96" s="47" t="s">
        <v>544</v>
      </c>
      <c r="N96" s="47" t="s">
        <v>59</v>
      </c>
      <c r="O96" s="49">
        <v>33854</v>
      </c>
      <c r="P96" s="47" t="s">
        <v>988</v>
      </c>
      <c r="Q96" s="47" t="s">
        <v>179</v>
      </c>
      <c r="R96" s="48" t="s">
        <v>989</v>
      </c>
      <c r="S96" s="47" t="s">
        <v>65</v>
      </c>
      <c r="T96" s="47"/>
      <c r="U96" s="47"/>
      <c r="V96" s="47" t="s">
        <v>66</v>
      </c>
      <c r="W96" s="47" t="s">
        <v>67</v>
      </c>
      <c r="X96" s="47" t="s">
        <v>68</v>
      </c>
      <c r="Y96" s="55" t="s">
        <v>69</v>
      </c>
      <c r="Z96" s="55" t="s">
        <v>990</v>
      </c>
      <c r="AA96" s="55" t="s">
        <v>991</v>
      </c>
      <c r="AB96" s="47" t="s">
        <v>992</v>
      </c>
      <c r="AC96" s="47" t="s">
        <v>73</v>
      </c>
      <c r="AD96" s="47" t="s">
        <v>74</v>
      </c>
      <c r="AE96" s="49">
        <v>42871</v>
      </c>
      <c r="AF96" s="47" t="s">
        <v>75</v>
      </c>
      <c r="AG96" s="47"/>
      <c r="AH96" s="47" t="s">
        <v>2277</v>
      </c>
      <c r="AI96" s="47" t="s">
        <v>76</v>
      </c>
      <c r="AJ96" s="47" t="s">
        <v>77</v>
      </c>
      <c r="AK96" s="47" t="s">
        <v>59</v>
      </c>
      <c r="AL96" s="47" t="s">
        <v>59</v>
      </c>
      <c r="AM96" s="47" t="s">
        <v>99</v>
      </c>
      <c r="AN96" s="47" t="s">
        <v>80</v>
      </c>
      <c r="AO96" s="47"/>
      <c r="AP96" s="47"/>
      <c r="AQ96" s="47" t="s">
        <v>81</v>
      </c>
      <c r="AR96" s="47"/>
      <c r="AS96" s="47" t="s">
        <v>173</v>
      </c>
      <c r="AT96" s="47" t="s">
        <v>76</v>
      </c>
      <c r="AU96" s="47" t="s">
        <v>83</v>
      </c>
      <c r="AV96" s="47" t="s">
        <v>84</v>
      </c>
      <c r="AW96" s="47" t="s">
        <v>858</v>
      </c>
      <c r="AX96" s="47" t="s">
        <v>100</v>
      </c>
      <c r="AY96" s="49">
        <v>42196</v>
      </c>
      <c r="AZ96" s="47" t="s">
        <v>80</v>
      </c>
      <c r="BA96" s="47"/>
      <c r="BB96" s="47" t="s">
        <v>2359</v>
      </c>
      <c r="BC96" s="47" t="s">
        <v>2542</v>
      </c>
      <c r="BD96" s="47">
        <v>524134824</v>
      </c>
      <c r="BE96" s="50">
        <v>6357</v>
      </c>
      <c r="BF96" s="53">
        <v>1235103</v>
      </c>
    </row>
    <row r="97" spans="1:58" s="51" customFormat="1" ht="23.4" hidden="1" x14ac:dyDescent="0.25">
      <c r="A97" s="46">
        <v>96</v>
      </c>
      <c r="B97" s="47">
        <v>3980</v>
      </c>
      <c r="C97" s="47">
        <v>1634849</v>
      </c>
      <c r="D97" s="47" t="s">
        <v>993</v>
      </c>
      <c r="E97" s="47" t="s">
        <v>131</v>
      </c>
      <c r="F97" s="47" t="s">
        <v>506</v>
      </c>
      <c r="G97" s="47" t="str">
        <f>CONCATENATE(TRIM(الجدول2[[#This Row],[الاسم الأول]])," ",TRIM(الجدول2[[#This Row],[اسم الأب]])," ",TRIM(الجدول2[[#This Row],[الكنية]]))</f>
        <v>زينه علي عيسى</v>
      </c>
      <c r="H97" s="47" t="s">
        <v>994</v>
      </c>
      <c r="I97" s="48" t="s">
        <v>995</v>
      </c>
      <c r="J97" s="47" t="s">
        <v>58</v>
      </c>
      <c r="K97" s="47" t="s">
        <v>59</v>
      </c>
      <c r="L97" s="47" t="s">
        <v>59</v>
      </c>
      <c r="M97" s="47" t="s">
        <v>60</v>
      </c>
      <c r="N97" s="47" t="s">
        <v>361</v>
      </c>
      <c r="O97" s="49">
        <v>32690</v>
      </c>
      <c r="P97" s="47" t="s">
        <v>996</v>
      </c>
      <c r="Q97" s="47" t="s">
        <v>179</v>
      </c>
      <c r="R97" s="48" t="s">
        <v>997</v>
      </c>
      <c r="S97" s="47" t="s">
        <v>109</v>
      </c>
      <c r="T97" s="47"/>
      <c r="U97" s="47">
        <v>0</v>
      </c>
      <c r="V97" s="47" t="s">
        <v>66</v>
      </c>
      <c r="W97" s="47" t="s">
        <v>67</v>
      </c>
      <c r="X97" s="47" t="s">
        <v>68</v>
      </c>
      <c r="Y97" s="47" t="s">
        <v>137</v>
      </c>
      <c r="Z97" s="47"/>
      <c r="AA97" s="47"/>
      <c r="AB97" s="47" t="s">
        <v>668</v>
      </c>
      <c r="AC97" s="47" t="s">
        <v>73</v>
      </c>
      <c r="AD97" s="47" t="s">
        <v>74</v>
      </c>
      <c r="AE97" s="49">
        <v>41601</v>
      </c>
      <c r="AF97" s="47" t="s">
        <v>123</v>
      </c>
      <c r="AG97" s="47"/>
      <c r="AH97" s="47" t="s">
        <v>124</v>
      </c>
      <c r="AI97" s="47" t="s">
        <v>182</v>
      </c>
      <c r="AJ97" s="47" t="s">
        <v>595</v>
      </c>
      <c r="AK97" s="47" t="s">
        <v>59</v>
      </c>
      <c r="AL97" s="47" t="s">
        <v>59</v>
      </c>
      <c r="AM97" s="47" t="s">
        <v>99</v>
      </c>
      <c r="AN97" s="47" t="s">
        <v>83</v>
      </c>
      <c r="AO97" s="47" t="s">
        <v>998</v>
      </c>
      <c r="AP97" s="47" t="s">
        <v>342</v>
      </c>
      <c r="AQ97" s="47" t="s">
        <v>81</v>
      </c>
      <c r="AR97" s="47"/>
      <c r="AS97" s="47" t="s">
        <v>142</v>
      </c>
      <c r="AT97" s="47" t="s">
        <v>182</v>
      </c>
      <c r="AU97" s="47" t="s">
        <v>83</v>
      </c>
      <c r="AV97" s="47" t="s">
        <v>59</v>
      </c>
      <c r="AW97" s="47" t="s">
        <v>182</v>
      </c>
      <c r="AX97" s="47" t="s">
        <v>595</v>
      </c>
      <c r="AY97" s="49">
        <v>40371</v>
      </c>
      <c r="AZ97" s="47" t="s">
        <v>80</v>
      </c>
      <c r="BA97" s="47" t="s">
        <v>999</v>
      </c>
      <c r="BB97" s="47" t="s">
        <v>2358</v>
      </c>
      <c r="BC97" s="47" t="s">
        <v>2542</v>
      </c>
      <c r="BD97" s="47">
        <v>527229767</v>
      </c>
      <c r="BE97" s="50">
        <v>16709</v>
      </c>
      <c r="BF97" s="53">
        <v>1243000</v>
      </c>
    </row>
    <row r="98" spans="1:58" s="51" customFormat="1" ht="23.4" hidden="1" x14ac:dyDescent="0.25">
      <c r="A98" s="46">
        <v>97</v>
      </c>
      <c r="B98" s="47">
        <v>4028</v>
      </c>
      <c r="C98" s="47">
        <v>1634001</v>
      </c>
      <c r="D98" s="47" t="s">
        <v>1000</v>
      </c>
      <c r="E98" s="47" t="s">
        <v>1001</v>
      </c>
      <c r="F98" s="47" t="s">
        <v>131</v>
      </c>
      <c r="G98" s="47" t="str">
        <f>CONCATENATE(TRIM(الجدول2[[#This Row],[الاسم الأول]])," ",TRIM(الجدول2[[#This Row],[اسم الأب]])," ",TRIM(الجدول2[[#This Row],[الكنية]]))</f>
        <v>سامر أحمد علي</v>
      </c>
      <c r="H98" s="47" t="s">
        <v>1002</v>
      </c>
      <c r="I98" s="48" t="s">
        <v>1003</v>
      </c>
      <c r="J98" s="47" t="s">
        <v>58</v>
      </c>
      <c r="K98" s="47" t="s">
        <v>59</v>
      </c>
      <c r="L98" s="47" t="s">
        <v>59</v>
      </c>
      <c r="M98" s="47" t="s">
        <v>60</v>
      </c>
      <c r="N98" s="47" t="s">
        <v>1004</v>
      </c>
      <c r="O98" s="49">
        <v>31778</v>
      </c>
      <c r="P98" s="47" t="s">
        <v>1005</v>
      </c>
      <c r="Q98" s="47" t="s">
        <v>63</v>
      </c>
      <c r="R98" s="48" t="s">
        <v>1006</v>
      </c>
      <c r="S98" s="47" t="s">
        <v>109</v>
      </c>
      <c r="T98" s="47">
        <v>1</v>
      </c>
      <c r="U98" s="47">
        <v>2</v>
      </c>
      <c r="V98" s="47" t="s">
        <v>66</v>
      </c>
      <c r="W98" s="47" t="s">
        <v>67</v>
      </c>
      <c r="X98" s="47" t="s">
        <v>68</v>
      </c>
      <c r="Y98" s="47" t="s">
        <v>169</v>
      </c>
      <c r="Z98" s="47" t="s">
        <v>170</v>
      </c>
      <c r="AA98" s="47" t="s">
        <v>171</v>
      </c>
      <c r="AB98" s="47" t="s">
        <v>249</v>
      </c>
      <c r="AC98" s="47" t="s">
        <v>73</v>
      </c>
      <c r="AD98" s="47" t="s">
        <v>74</v>
      </c>
      <c r="AE98" s="49">
        <v>41294</v>
      </c>
      <c r="AF98" s="47" t="s">
        <v>123</v>
      </c>
      <c r="AG98" s="47"/>
      <c r="AH98" s="47" t="s">
        <v>1007</v>
      </c>
      <c r="AI98" s="47" t="s">
        <v>143</v>
      </c>
      <c r="AJ98" s="47"/>
      <c r="AK98" s="47" t="s">
        <v>59</v>
      </c>
      <c r="AL98" s="47" t="s">
        <v>59</v>
      </c>
      <c r="AM98" s="47" t="s">
        <v>99</v>
      </c>
      <c r="AN98" s="47" t="s">
        <v>80</v>
      </c>
      <c r="AO98" s="47"/>
      <c r="AP98" s="47"/>
      <c r="AQ98" s="47" t="s">
        <v>81</v>
      </c>
      <c r="AR98" s="47"/>
      <c r="AS98" s="47" t="s">
        <v>173</v>
      </c>
      <c r="AT98" s="47" t="s">
        <v>143</v>
      </c>
      <c r="AU98" s="47" t="s">
        <v>83</v>
      </c>
      <c r="AV98" s="47"/>
      <c r="AW98" s="47"/>
      <c r="AX98" s="47"/>
      <c r="AY98" s="49">
        <v>33441</v>
      </c>
      <c r="AZ98" s="47" t="s">
        <v>80</v>
      </c>
      <c r="BA98" s="47"/>
      <c r="BB98" s="47" t="s">
        <v>2359</v>
      </c>
      <c r="BC98" s="47" t="s">
        <v>2542</v>
      </c>
      <c r="BD98" s="47">
        <v>522416231</v>
      </c>
      <c r="BE98" s="50">
        <v>1133</v>
      </c>
      <c r="BF98" s="53">
        <v>1185000</v>
      </c>
    </row>
    <row r="99" spans="1:58" s="51" customFormat="1" ht="23.4" hidden="1" x14ac:dyDescent="0.25">
      <c r="A99" s="46">
        <v>98</v>
      </c>
      <c r="B99" s="47">
        <v>4142</v>
      </c>
      <c r="C99" s="47"/>
      <c r="D99" s="47" t="s">
        <v>1008</v>
      </c>
      <c r="E99" s="47" t="s">
        <v>558</v>
      </c>
      <c r="F99" s="47" t="s">
        <v>1009</v>
      </c>
      <c r="G99" s="47" t="str">
        <f>CONCATENATE(TRIM(الجدول2[[#This Row],[الاسم الأول]])," ",TRIM(الجدول2[[#This Row],[اسم الأب]])," ",TRIM(الجدول2[[#This Row],[الكنية]]))</f>
        <v>سائر حسين دغمة</v>
      </c>
      <c r="H99" s="47" t="s">
        <v>1010</v>
      </c>
      <c r="I99" s="48" t="s">
        <v>1011</v>
      </c>
      <c r="J99" s="47" t="s">
        <v>58</v>
      </c>
      <c r="K99" s="47" t="s">
        <v>59</v>
      </c>
      <c r="L99" s="47" t="s">
        <v>164</v>
      </c>
      <c r="M99" s="47" t="s">
        <v>165</v>
      </c>
      <c r="N99" s="47" t="s">
        <v>1012</v>
      </c>
      <c r="O99" s="49">
        <v>27760</v>
      </c>
      <c r="P99" s="47" t="s">
        <v>1013</v>
      </c>
      <c r="Q99" s="47" t="s">
        <v>63</v>
      </c>
      <c r="R99" s="48" t="s">
        <v>1014</v>
      </c>
      <c r="S99" s="47" t="s">
        <v>65</v>
      </c>
      <c r="T99" s="47"/>
      <c r="U99" s="47"/>
      <c r="V99" s="47" t="s">
        <v>66</v>
      </c>
      <c r="W99" s="47" t="s">
        <v>67</v>
      </c>
      <c r="X99" s="47" t="s">
        <v>68</v>
      </c>
      <c r="Y99" s="47" t="s">
        <v>1015</v>
      </c>
      <c r="Z99" s="47"/>
      <c r="AA99" s="47"/>
      <c r="AB99" s="47" t="s">
        <v>1016</v>
      </c>
      <c r="AC99" s="47" t="s">
        <v>155</v>
      </c>
      <c r="AD99" s="47" t="s">
        <v>74</v>
      </c>
      <c r="AE99" s="49">
        <v>43905</v>
      </c>
      <c r="AF99" s="47" t="s">
        <v>123</v>
      </c>
      <c r="AG99" s="47"/>
      <c r="AH99" s="47" t="s">
        <v>140</v>
      </c>
      <c r="AI99" s="47" t="s">
        <v>250</v>
      </c>
      <c r="AJ99" s="47"/>
      <c r="AK99" s="47" t="s">
        <v>59</v>
      </c>
      <c r="AL99" s="47" t="s">
        <v>59</v>
      </c>
      <c r="AM99" s="47" t="s">
        <v>99</v>
      </c>
      <c r="AN99" s="47" t="s">
        <v>80</v>
      </c>
      <c r="AO99" s="47"/>
      <c r="AP99" s="47"/>
      <c r="AQ99" s="47" t="s">
        <v>81</v>
      </c>
      <c r="AR99" s="47"/>
      <c r="AS99" s="47" t="s">
        <v>82</v>
      </c>
      <c r="AT99" s="47" t="s">
        <v>250</v>
      </c>
      <c r="AU99" s="47"/>
      <c r="AV99" s="47"/>
      <c r="AW99" s="47"/>
      <c r="AX99" s="47"/>
      <c r="AY99" s="49"/>
      <c r="AZ99" s="47" t="s">
        <v>80</v>
      </c>
      <c r="BA99" s="47"/>
      <c r="BB99" s="47" t="s">
        <v>2359</v>
      </c>
      <c r="BC99" s="47" t="s">
        <v>2542</v>
      </c>
      <c r="BD99" s="47">
        <v>526455926</v>
      </c>
      <c r="BE99" s="50">
        <v>12231</v>
      </c>
      <c r="BF99" s="53">
        <v>994128</v>
      </c>
    </row>
    <row r="100" spans="1:58" s="51" customFormat="1" ht="23.4" hidden="1" x14ac:dyDescent="0.25">
      <c r="A100" s="46">
        <v>99</v>
      </c>
      <c r="B100" s="47">
        <v>4170</v>
      </c>
      <c r="C100" s="47">
        <v>1634096</v>
      </c>
      <c r="D100" s="47" t="s">
        <v>1017</v>
      </c>
      <c r="E100" s="47" t="s">
        <v>741</v>
      </c>
      <c r="F100" s="47" t="s">
        <v>115</v>
      </c>
      <c r="G100" s="47" t="str">
        <f>CONCATENATE(TRIM(الجدول2[[#This Row],[الاسم الأول]])," ",TRIM(الجدول2[[#This Row],[اسم الأب]])," ",TRIM(الجدول2[[#This Row],[الكنية]]))</f>
        <v>سراب غسان محمد</v>
      </c>
      <c r="H100" s="47" t="s">
        <v>1018</v>
      </c>
      <c r="I100" s="48" t="s">
        <v>1019</v>
      </c>
      <c r="J100" s="47" t="s">
        <v>58</v>
      </c>
      <c r="K100" s="47" t="s">
        <v>59</v>
      </c>
      <c r="L100" s="47" t="s">
        <v>164</v>
      </c>
      <c r="M100" s="47" t="s">
        <v>621</v>
      </c>
      <c r="N100" s="47" t="s">
        <v>59</v>
      </c>
      <c r="O100" s="49">
        <v>36168</v>
      </c>
      <c r="P100" s="47" t="s">
        <v>1020</v>
      </c>
      <c r="Q100" s="47" t="s">
        <v>179</v>
      </c>
      <c r="R100" s="48" t="s">
        <v>1021</v>
      </c>
      <c r="S100" s="47" t="s">
        <v>65</v>
      </c>
      <c r="T100" s="47"/>
      <c r="U100" s="47"/>
      <c r="V100" s="47" t="s">
        <v>66</v>
      </c>
      <c r="W100" s="47" t="s">
        <v>67</v>
      </c>
      <c r="X100" s="47" t="s">
        <v>68</v>
      </c>
      <c r="Y100" s="47" t="s">
        <v>94</v>
      </c>
      <c r="Z100" s="47" t="s">
        <v>95</v>
      </c>
      <c r="AA100" s="47" t="s">
        <v>1022</v>
      </c>
      <c r="AB100" s="47" t="s">
        <v>660</v>
      </c>
      <c r="AC100" s="47" t="s">
        <v>73</v>
      </c>
      <c r="AD100" s="47" t="s">
        <v>74</v>
      </c>
      <c r="AE100" s="49">
        <v>45523</v>
      </c>
      <c r="AF100" s="47" t="s">
        <v>75</v>
      </c>
      <c r="AG100" s="47"/>
      <c r="AH100" s="47" t="s">
        <v>2277</v>
      </c>
      <c r="AI100" s="47" t="s">
        <v>76</v>
      </c>
      <c r="AJ100" s="47" t="s">
        <v>277</v>
      </c>
      <c r="AK100" s="47" t="s">
        <v>59</v>
      </c>
      <c r="AL100" s="47" t="s">
        <v>59</v>
      </c>
      <c r="AM100" s="47" t="s">
        <v>99</v>
      </c>
      <c r="AN100" s="47" t="s">
        <v>80</v>
      </c>
      <c r="AO100" s="47"/>
      <c r="AP100" s="47"/>
      <c r="AQ100" s="47" t="s">
        <v>81</v>
      </c>
      <c r="AR100" s="47"/>
      <c r="AS100" s="47" t="s">
        <v>142</v>
      </c>
      <c r="AT100" s="47" t="s">
        <v>76</v>
      </c>
      <c r="AU100" s="47" t="s">
        <v>83</v>
      </c>
      <c r="AV100" s="47" t="s">
        <v>84</v>
      </c>
      <c r="AW100" s="47" t="s">
        <v>1023</v>
      </c>
      <c r="AX100" s="47" t="s">
        <v>919</v>
      </c>
      <c r="AY100" s="49">
        <v>44558</v>
      </c>
      <c r="AZ100" s="47" t="s">
        <v>80</v>
      </c>
      <c r="BA100" s="47"/>
      <c r="BB100" s="47" t="s">
        <v>2359</v>
      </c>
      <c r="BC100" s="47" t="s">
        <v>2542</v>
      </c>
      <c r="BD100" s="47">
        <v>522361806</v>
      </c>
      <c r="BE100" s="50">
        <v>888</v>
      </c>
      <c r="BF100" s="53">
        <v>943000</v>
      </c>
    </row>
    <row r="101" spans="1:58" s="51" customFormat="1" ht="23.4" hidden="1" x14ac:dyDescent="0.25">
      <c r="A101" s="46">
        <v>100</v>
      </c>
      <c r="B101" s="47">
        <v>4183</v>
      </c>
      <c r="C101" s="47">
        <v>1634863</v>
      </c>
      <c r="D101" s="47" t="s">
        <v>1024</v>
      </c>
      <c r="E101" s="47" t="s">
        <v>116</v>
      </c>
      <c r="F101" s="47" t="s">
        <v>694</v>
      </c>
      <c r="G101" s="47" t="str">
        <f>CONCATENATE(TRIM(الجدول2[[#This Row],[الاسم الأول]])," ",TRIM(الجدول2[[#This Row],[اسم الأب]])," ",TRIM(الجدول2[[#This Row],[الكنية]]))</f>
        <v>سعاد يوسف عبدالرحمن</v>
      </c>
      <c r="H101" s="47" t="s">
        <v>1025</v>
      </c>
      <c r="I101" s="48" t="s">
        <v>1026</v>
      </c>
      <c r="J101" s="47" t="s">
        <v>58</v>
      </c>
      <c r="K101" s="47" t="s">
        <v>59</v>
      </c>
      <c r="L101" s="47" t="s">
        <v>164</v>
      </c>
      <c r="M101" s="47" t="s">
        <v>165</v>
      </c>
      <c r="N101" s="47" t="s">
        <v>1027</v>
      </c>
      <c r="O101" s="49">
        <v>33232</v>
      </c>
      <c r="P101" s="47" t="s">
        <v>1028</v>
      </c>
      <c r="Q101" s="47" t="s">
        <v>179</v>
      </c>
      <c r="R101" s="48" t="s">
        <v>1029</v>
      </c>
      <c r="S101" s="47" t="s">
        <v>109</v>
      </c>
      <c r="T101" s="47"/>
      <c r="U101" s="47">
        <v>3</v>
      </c>
      <c r="V101" s="47" t="s">
        <v>66</v>
      </c>
      <c r="W101" s="47" t="s">
        <v>67</v>
      </c>
      <c r="X101" s="47" t="s">
        <v>68</v>
      </c>
      <c r="Y101" s="47" t="s">
        <v>137</v>
      </c>
      <c r="Z101" s="47"/>
      <c r="AA101" s="47"/>
      <c r="AB101" s="47" t="s">
        <v>289</v>
      </c>
      <c r="AC101" s="47" t="s">
        <v>73</v>
      </c>
      <c r="AD101" s="47" t="s">
        <v>74</v>
      </c>
      <c r="AE101" s="49">
        <v>41294</v>
      </c>
      <c r="AF101" s="47" t="s">
        <v>123</v>
      </c>
      <c r="AG101" s="47"/>
      <c r="AH101" s="47" t="s">
        <v>124</v>
      </c>
      <c r="AI101" s="47" t="s">
        <v>182</v>
      </c>
      <c r="AJ101" s="47" t="s">
        <v>1030</v>
      </c>
      <c r="AK101" s="47" t="s">
        <v>59</v>
      </c>
      <c r="AL101" s="47" t="s">
        <v>164</v>
      </c>
      <c r="AM101" s="47" t="s">
        <v>99</v>
      </c>
      <c r="AN101" s="47" t="s">
        <v>80</v>
      </c>
      <c r="AO101" s="47"/>
      <c r="AP101" s="47"/>
      <c r="AQ101" s="47" t="s">
        <v>81</v>
      </c>
      <c r="AR101" s="47"/>
      <c r="AS101" s="47" t="s">
        <v>173</v>
      </c>
      <c r="AT101" s="47" t="s">
        <v>182</v>
      </c>
      <c r="AU101" s="47" t="s">
        <v>83</v>
      </c>
      <c r="AV101" s="47" t="s">
        <v>184</v>
      </c>
      <c r="AW101" s="47" t="s">
        <v>1030</v>
      </c>
      <c r="AX101" s="47" t="s">
        <v>1031</v>
      </c>
      <c r="AY101" s="49">
        <v>40725</v>
      </c>
      <c r="AZ101" s="47" t="s">
        <v>80</v>
      </c>
      <c r="BA101" s="47" t="s">
        <v>1032</v>
      </c>
      <c r="BB101" s="47" t="s">
        <v>2358</v>
      </c>
      <c r="BC101" s="47" t="s">
        <v>2542</v>
      </c>
      <c r="BD101" s="47">
        <v>528029120</v>
      </c>
      <c r="BE101" s="50">
        <v>21567</v>
      </c>
      <c r="BF101" s="53">
        <v>1243000</v>
      </c>
    </row>
    <row r="102" spans="1:58" s="51" customFormat="1" ht="23.4" hidden="1" x14ac:dyDescent="0.25">
      <c r="A102" s="46">
        <v>101</v>
      </c>
      <c r="B102" s="47">
        <v>44634</v>
      </c>
      <c r="C102" s="47">
        <v>1634850</v>
      </c>
      <c r="D102" s="47" t="s">
        <v>1033</v>
      </c>
      <c r="E102" s="47" t="s">
        <v>115</v>
      </c>
      <c r="F102" s="47" t="s">
        <v>1034</v>
      </c>
      <c r="G102" s="47" t="str">
        <f>CONCATENATE(TRIM(الجدول2[[#This Row],[الاسم الأول]])," ",TRIM(الجدول2[[#This Row],[اسم الأب]])," ",TRIM(الجدول2[[#This Row],[الكنية]]))</f>
        <v>سلمى محمد شيحان</v>
      </c>
      <c r="H102" s="47" t="s">
        <v>1035</v>
      </c>
      <c r="I102" s="48">
        <v>10010140100</v>
      </c>
      <c r="J102" s="47" t="s">
        <v>58</v>
      </c>
      <c r="K102" s="47" t="s">
        <v>59</v>
      </c>
      <c r="L102" s="47" t="s">
        <v>59</v>
      </c>
      <c r="M102" s="47" t="s">
        <v>60</v>
      </c>
      <c r="N102" s="47" t="s">
        <v>1036</v>
      </c>
      <c r="O102" s="49">
        <v>31784</v>
      </c>
      <c r="P102" s="47" t="s">
        <v>1037</v>
      </c>
      <c r="Q102" s="47" t="s">
        <v>179</v>
      </c>
      <c r="R102" s="48" t="s">
        <v>1038</v>
      </c>
      <c r="S102" s="47" t="s">
        <v>109</v>
      </c>
      <c r="T102" s="47"/>
      <c r="U102" s="47">
        <v>2</v>
      </c>
      <c r="V102" s="47" t="s">
        <v>66</v>
      </c>
      <c r="W102" s="47" t="s">
        <v>67</v>
      </c>
      <c r="X102" s="47" t="s">
        <v>68</v>
      </c>
      <c r="Y102" s="47" t="s">
        <v>137</v>
      </c>
      <c r="Z102" s="47"/>
      <c r="AA102" s="47"/>
      <c r="AB102" s="47" t="s">
        <v>181</v>
      </c>
      <c r="AC102" s="47" t="s">
        <v>73</v>
      </c>
      <c r="AD102" s="47" t="s">
        <v>74</v>
      </c>
      <c r="AE102" s="49">
        <v>41302</v>
      </c>
      <c r="AF102" s="47" t="s">
        <v>123</v>
      </c>
      <c r="AG102" s="47"/>
      <c r="AH102" s="47" t="s">
        <v>124</v>
      </c>
      <c r="AI102" s="47" t="s">
        <v>182</v>
      </c>
      <c r="AJ102" s="47" t="s">
        <v>185</v>
      </c>
      <c r="AK102" s="47" t="s">
        <v>59</v>
      </c>
      <c r="AL102" s="47" t="s">
        <v>59</v>
      </c>
      <c r="AM102" s="47" t="s">
        <v>99</v>
      </c>
      <c r="AN102" s="47" t="s">
        <v>83</v>
      </c>
      <c r="AO102" s="47" t="s">
        <v>1039</v>
      </c>
      <c r="AP102" s="47" t="s">
        <v>1040</v>
      </c>
      <c r="AQ102" s="47" t="s">
        <v>81</v>
      </c>
      <c r="AR102" s="47"/>
      <c r="AS102" s="47" t="s">
        <v>82</v>
      </c>
      <c r="AT102" s="47" t="s">
        <v>182</v>
      </c>
      <c r="AU102" s="47" t="s">
        <v>83</v>
      </c>
      <c r="AV102" s="47" t="s">
        <v>59</v>
      </c>
      <c r="AW102" s="47" t="s">
        <v>185</v>
      </c>
      <c r="AX102" s="47" t="s">
        <v>1041</v>
      </c>
      <c r="AY102" s="49">
        <v>38929</v>
      </c>
      <c r="AZ102" s="47" t="s">
        <v>80</v>
      </c>
      <c r="BA102" s="47" t="s">
        <v>1042</v>
      </c>
      <c r="BB102" s="47" t="s">
        <v>2358</v>
      </c>
      <c r="BC102" s="47" t="s">
        <v>2542</v>
      </c>
      <c r="BD102" s="47">
        <v>523956649</v>
      </c>
      <c r="BE102" s="50">
        <v>4831</v>
      </c>
      <c r="BF102" s="53">
        <v>1243000</v>
      </c>
    </row>
    <row r="103" spans="1:58" s="51" customFormat="1" ht="23.4" hidden="1" x14ac:dyDescent="0.25">
      <c r="A103" s="46">
        <v>102</v>
      </c>
      <c r="B103" s="47">
        <v>4246</v>
      </c>
      <c r="C103" s="47">
        <v>1634848</v>
      </c>
      <c r="D103" s="47" t="s">
        <v>1043</v>
      </c>
      <c r="E103" s="47" t="s">
        <v>131</v>
      </c>
      <c r="F103" s="47" t="s">
        <v>1044</v>
      </c>
      <c r="G103" s="47" t="str">
        <f>CONCATENATE(TRIM(الجدول2[[#This Row],[الاسم الأول]])," ",TRIM(الجدول2[[#This Row],[اسم الأب]])," ",TRIM(الجدول2[[#This Row],[الكنية]]))</f>
        <v>سلوى علي العباس</v>
      </c>
      <c r="H103" s="47" t="s">
        <v>1045</v>
      </c>
      <c r="I103" s="48" t="s">
        <v>1046</v>
      </c>
      <c r="J103" s="47" t="s">
        <v>58</v>
      </c>
      <c r="K103" s="47" t="s">
        <v>59</v>
      </c>
      <c r="L103" s="47" t="s">
        <v>59</v>
      </c>
      <c r="M103" s="47" t="s">
        <v>60</v>
      </c>
      <c r="N103" s="47" t="s">
        <v>1047</v>
      </c>
      <c r="O103" s="49">
        <v>32878</v>
      </c>
      <c r="P103" s="47" t="s">
        <v>1048</v>
      </c>
      <c r="Q103" s="47" t="s">
        <v>179</v>
      </c>
      <c r="R103" s="48" t="s">
        <v>1049</v>
      </c>
      <c r="S103" s="47" t="s">
        <v>109</v>
      </c>
      <c r="T103" s="47"/>
      <c r="U103" s="47">
        <v>2</v>
      </c>
      <c r="V103" s="47" t="s">
        <v>66</v>
      </c>
      <c r="W103" s="47" t="s">
        <v>67</v>
      </c>
      <c r="X103" s="47" t="s">
        <v>68</v>
      </c>
      <c r="Y103" s="47" t="s">
        <v>137</v>
      </c>
      <c r="Z103" s="47"/>
      <c r="AA103" s="47"/>
      <c r="AB103" s="47" t="s">
        <v>1050</v>
      </c>
      <c r="AC103" s="47" t="s">
        <v>73</v>
      </c>
      <c r="AD103" s="47" t="s">
        <v>74</v>
      </c>
      <c r="AE103" s="49">
        <v>41294</v>
      </c>
      <c r="AF103" s="47" t="s">
        <v>123</v>
      </c>
      <c r="AG103" s="47"/>
      <c r="AH103" s="47" t="s">
        <v>124</v>
      </c>
      <c r="AI103" s="47" t="s">
        <v>182</v>
      </c>
      <c r="AJ103" s="47" t="s">
        <v>1051</v>
      </c>
      <c r="AK103" s="47" t="s">
        <v>732</v>
      </c>
      <c r="AL103" s="47" t="s">
        <v>1052</v>
      </c>
      <c r="AM103" s="47" t="s">
        <v>79</v>
      </c>
      <c r="AN103" s="47" t="s">
        <v>83</v>
      </c>
      <c r="AO103" s="47" t="s">
        <v>1053</v>
      </c>
      <c r="AP103" s="47" t="s">
        <v>1054</v>
      </c>
      <c r="AQ103" s="47" t="s">
        <v>81</v>
      </c>
      <c r="AR103" s="47"/>
      <c r="AS103" s="47" t="s">
        <v>82</v>
      </c>
      <c r="AT103" s="47" t="s">
        <v>182</v>
      </c>
      <c r="AU103" s="47" t="s">
        <v>83</v>
      </c>
      <c r="AV103" s="47" t="s">
        <v>268</v>
      </c>
      <c r="AW103" s="47" t="s">
        <v>1055</v>
      </c>
      <c r="AX103" s="47" t="s">
        <v>1056</v>
      </c>
      <c r="AY103" s="49">
        <v>40993</v>
      </c>
      <c r="AZ103" s="47" t="s">
        <v>80</v>
      </c>
      <c r="BA103" s="47" t="s">
        <v>1057</v>
      </c>
      <c r="BB103" s="47" t="s">
        <v>2358</v>
      </c>
      <c r="BC103" s="47" t="s">
        <v>2542</v>
      </c>
      <c r="BD103" s="47">
        <v>528076568</v>
      </c>
      <c r="BE103" s="50">
        <v>22057</v>
      </c>
      <c r="BF103" s="53">
        <v>1243000</v>
      </c>
    </row>
    <row r="104" spans="1:58" s="51" customFormat="1" ht="23.4" hidden="1" x14ac:dyDescent="0.25">
      <c r="A104" s="46">
        <v>103</v>
      </c>
      <c r="B104" s="47">
        <v>4332</v>
      </c>
      <c r="C104" s="47">
        <v>1632694</v>
      </c>
      <c r="D104" s="47" t="s">
        <v>1058</v>
      </c>
      <c r="E104" s="47" t="s">
        <v>411</v>
      </c>
      <c r="F104" s="47" t="s">
        <v>322</v>
      </c>
      <c r="G104" s="47" t="str">
        <f>CONCATENATE(TRIM(الجدول2[[#This Row],[الاسم الأول]])," ",TRIM(الجدول2[[#This Row],[اسم الأب]])," ",TRIM(الجدول2[[#This Row],[الكنية]]))</f>
        <v>سماهر سليمان عباس</v>
      </c>
      <c r="H104" s="47" t="s">
        <v>1059</v>
      </c>
      <c r="I104" s="48" t="s">
        <v>1060</v>
      </c>
      <c r="J104" s="47" t="s">
        <v>58</v>
      </c>
      <c r="K104" s="47" t="s">
        <v>59</v>
      </c>
      <c r="L104" s="47" t="s">
        <v>59</v>
      </c>
      <c r="M104" s="47" t="s">
        <v>60</v>
      </c>
      <c r="N104" s="47" t="s">
        <v>59</v>
      </c>
      <c r="O104" s="49">
        <v>28716</v>
      </c>
      <c r="P104" s="47" t="s">
        <v>1061</v>
      </c>
      <c r="Q104" s="47" t="s">
        <v>179</v>
      </c>
      <c r="R104" s="48" t="s">
        <v>1062</v>
      </c>
      <c r="S104" s="47" t="s">
        <v>65</v>
      </c>
      <c r="T104" s="47"/>
      <c r="U104" s="47"/>
      <c r="V104" s="47" t="s">
        <v>66</v>
      </c>
      <c r="W104" s="47" t="s">
        <v>67</v>
      </c>
      <c r="X104" s="47" t="s">
        <v>68</v>
      </c>
      <c r="Y104" s="47" t="s">
        <v>169</v>
      </c>
      <c r="Z104" s="47" t="s">
        <v>288</v>
      </c>
      <c r="AA104" s="47" t="s">
        <v>1063</v>
      </c>
      <c r="AB104" s="47" t="s">
        <v>289</v>
      </c>
      <c r="AC104" s="47" t="s">
        <v>73</v>
      </c>
      <c r="AD104" s="47" t="s">
        <v>74</v>
      </c>
      <c r="AE104" s="49">
        <v>41294</v>
      </c>
      <c r="AF104" s="47" t="s">
        <v>156</v>
      </c>
      <c r="AG104" s="47"/>
      <c r="AH104" s="47" t="s">
        <v>2277</v>
      </c>
      <c r="AI104" s="47" t="s">
        <v>327</v>
      </c>
      <c r="AJ104" s="47" t="s">
        <v>686</v>
      </c>
      <c r="AK104" s="47" t="s">
        <v>59</v>
      </c>
      <c r="AL104" s="47" t="s">
        <v>59</v>
      </c>
      <c r="AM104" s="47" t="s">
        <v>158</v>
      </c>
      <c r="AN104" s="47" t="s">
        <v>80</v>
      </c>
      <c r="AO104" s="47"/>
      <c r="AP104" s="47"/>
      <c r="AQ104" s="47" t="s">
        <v>81</v>
      </c>
      <c r="AR104" s="47"/>
      <c r="AS104" s="47" t="s">
        <v>173</v>
      </c>
      <c r="AT104" s="47" t="s">
        <v>327</v>
      </c>
      <c r="AU104" s="47" t="s">
        <v>83</v>
      </c>
      <c r="AV104" s="47" t="s">
        <v>1064</v>
      </c>
      <c r="AW104" s="47" t="s">
        <v>686</v>
      </c>
      <c r="AX104" s="47" t="s">
        <v>1065</v>
      </c>
      <c r="AY104" s="49">
        <v>38191</v>
      </c>
      <c r="AZ104" s="47" t="s">
        <v>80</v>
      </c>
      <c r="BA104" s="47"/>
      <c r="BB104" s="47" t="s">
        <v>2359</v>
      </c>
      <c r="BC104" s="47" t="s">
        <v>2542</v>
      </c>
      <c r="BD104" s="47">
        <v>523147102</v>
      </c>
      <c r="BE104" s="50">
        <v>2673</v>
      </c>
      <c r="BF104" s="53">
        <v>1321263</v>
      </c>
    </row>
    <row r="105" spans="1:58" s="51" customFormat="1" ht="23.4" hidden="1" x14ac:dyDescent="0.25">
      <c r="A105" s="46">
        <v>104</v>
      </c>
      <c r="B105" s="47">
        <v>4354</v>
      </c>
      <c r="C105" s="47"/>
      <c r="D105" s="47" t="s">
        <v>1066</v>
      </c>
      <c r="E105" s="47" t="s">
        <v>597</v>
      </c>
      <c r="F105" s="47" t="s">
        <v>1067</v>
      </c>
      <c r="G105" s="47" t="str">
        <f>CONCATENATE(TRIM(الجدول2[[#This Row],[الاسم الأول]])," ",TRIM(الجدول2[[#This Row],[اسم الأب]])," ",TRIM(الجدول2[[#This Row],[الكنية]]))</f>
        <v>سمر سمير زهرة</v>
      </c>
      <c r="H105" s="47" t="s">
        <v>1068</v>
      </c>
      <c r="I105" s="48" t="s">
        <v>1069</v>
      </c>
      <c r="J105" s="47" t="s">
        <v>58</v>
      </c>
      <c r="K105" s="47" t="s">
        <v>59</v>
      </c>
      <c r="L105" s="47" t="s">
        <v>105</v>
      </c>
      <c r="M105" s="47" t="s">
        <v>106</v>
      </c>
      <c r="N105" s="47" t="s">
        <v>1070</v>
      </c>
      <c r="O105" s="49">
        <v>28564</v>
      </c>
      <c r="P105" s="47" t="s">
        <v>1071</v>
      </c>
      <c r="Q105" s="47" t="s">
        <v>179</v>
      </c>
      <c r="R105" s="48" t="s">
        <v>1072</v>
      </c>
      <c r="S105" s="47" t="s">
        <v>109</v>
      </c>
      <c r="T105" s="47"/>
      <c r="U105" s="47">
        <v>2</v>
      </c>
      <c r="V105" s="47" t="s">
        <v>66</v>
      </c>
      <c r="W105" s="47" t="s">
        <v>67</v>
      </c>
      <c r="X105" s="47" t="s">
        <v>68</v>
      </c>
      <c r="Y105" s="47" t="s">
        <v>94</v>
      </c>
      <c r="Z105" s="47" t="s">
        <v>221</v>
      </c>
      <c r="AA105" s="47"/>
      <c r="AB105" s="47" t="s">
        <v>642</v>
      </c>
      <c r="AC105" s="47" t="s">
        <v>155</v>
      </c>
      <c r="AD105" s="47" t="s">
        <v>74</v>
      </c>
      <c r="AE105" s="49">
        <v>43905</v>
      </c>
      <c r="AF105" s="47" t="s">
        <v>123</v>
      </c>
      <c r="AG105" s="47"/>
      <c r="AH105" s="47" t="s">
        <v>140</v>
      </c>
      <c r="AI105" s="47" t="s">
        <v>143</v>
      </c>
      <c r="AJ105" s="47"/>
      <c r="AK105" s="47" t="s">
        <v>59</v>
      </c>
      <c r="AL105" s="47" t="s">
        <v>59</v>
      </c>
      <c r="AM105" s="47" t="s">
        <v>99</v>
      </c>
      <c r="AN105" s="47" t="s">
        <v>80</v>
      </c>
      <c r="AO105" s="47"/>
      <c r="AP105" s="47"/>
      <c r="AQ105" s="47" t="s">
        <v>81</v>
      </c>
      <c r="AR105" s="47"/>
      <c r="AS105" s="47" t="s">
        <v>368</v>
      </c>
      <c r="AT105" s="47" t="s">
        <v>128</v>
      </c>
      <c r="AU105" s="47" t="s">
        <v>83</v>
      </c>
      <c r="AV105" s="47"/>
      <c r="AW105" s="47"/>
      <c r="AX105" s="47" t="s">
        <v>129</v>
      </c>
      <c r="AY105" s="49">
        <v>34174</v>
      </c>
      <c r="AZ105" s="47" t="s">
        <v>80</v>
      </c>
      <c r="BA105" s="47" t="s">
        <v>1073</v>
      </c>
      <c r="BB105" s="47" t="s">
        <v>2359</v>
      </c>
      <c r="BC105" s="47" t="s">
        <v>2542</v>
      </c>
      <c r="BD105" s="47">
        <v>524131784</v>
      </c>
      <c r="BE105" s="50">
        <v>6332</v>
      </c>
      <c r="BF105" s="53">
        <v>994128</v>
      </c>
    </row>
    <row r="106" spans="1:58" s="51" customFormat="1" ht="23.4" hidden="1" x14ac:dyDescent="0.25">
      <c r="A106" s="46">
        <v>105</v>
      </c>
      <c r="B106" s="47">
        <v>4362</v>
      </c>
      <c r="C106" s="47"/>
      <c r="D106" s="47" t="s">
        <v>1066</v>
      </c>
      <c r="E106" s="47" t="s">
        <v>131</v>
      </c>
      <c r="F106" s="47" t="s">
        <v>411</v>
      </c>
      <c r="G106" s="47" t="str">
        <f>CONCATENATE(TRIM(الجدول2[[#This Row],[الاسم الأول]])," ",TRIM(الجدول2[[#This Row],[اسم الأب]])," ",TRIM(الجدول2[[#This Row],[الكنية]]))</f>
        <v>سمر علي سليمان</v>
      </c>
      <c r="H106" s="47" t="s">
        <v>296</v>
      </c>
      <c r="I106" s="48" t="s">
        <v>1074</v>
      </c>
      <c r="J106" s="47" t="s">
        <v>58</v>
      </c>
      <c r="K106" s="47" t="s">
        <v>59</v>
      </c>
      <c r="L106" s="47" t="s">
        <v>59</v>
      </c>
      <c r="M106" s="47" t="s">
        <v>60</v>
      </c>
      <c r="N106" s="47" t="s">
        <v>59</v>
      </c>
      <c r="O106" s="49">
        <v>30761</v>
      </c>
      <c r="P106" s="47" t="s">
        <v>1075</v>
      </c>
      <c r="Q106" s="47" t="s">
        <v>179</v>
      </c>
      <c r="R106" s="48" t="s">
        <v>1076</v>
      </c>
      <c r="S106" s="47" t="s">
        <v>1077</v>
      </c>
      <c r="T106" s="47"/>
      <c r="U106" s="47">
        <v>2</v>
      </c>
      <c r="V106" s="47" t="s">
        <v>66</v>
      </c>
      <c r="W106" s="47" t="s">
        <v>67</v>
      </c>
      <c r="X106" s="47" t="s">
        <v>68</v>
      </c>
      <c r="Y106" s="47" t="s">
        <v>210</v>
      </c>
      <c r="Z106" s="47" t="s">
        <v>521</v>
      </c>
      <c r="AA106" s="47" t="s">
        <v>522</v>
      </c>
      <c r="AB106" s="47" t="s">
        <v>289</v>
      </c>
      <c r="AC106" s="47" t="s">
        <v>73</v>
      </c>
      <c r="AD106" s="47" t="s">
        <v>74</v>
      </c>
      <c r="AE106" s="49">
        <v>40862</v>
      </c>
      <c r="AF106" s="47" t="s">
        <v>123</v>
      </c>
      <c r="AG106" s="47"/>
      <c r="AH106" s="47" t="s">
        <v>124</v>
      </c>
      <c r="AI106" s="47" t="s">
        <v>182</v>
      </c>
      <c r="AJ106" s="47" t="s">
        <v>1078</v>
      </c>
      <c r="AK106" s="47" t="s">
        <v>59</v>
      </c>
      <c r="AL106" s="47" t="s">
        <v>90</v>
      </c>
      <c r="AM106" s="47" t="s">
        <v>99</v>
      </c>
      <c r="AN106" s="47" t="s">
        <v>80</v>
      </c>
      <c r="AO106" s="47"/>
      <c r="AP106" s="47"/>
      <c r="AQ106" s="47" t="s">
        <v>81</v>
      </c>
      <c r="AR106" s="47"/>
      <c r="AS106" s="47" t="s">
        <v>82</v>
      </c>
      <c r="AT106" s="47" t="s">
        <v>182</v>
      </c>
      <c r="AU106" s="47" t="s">
        <v>83</v>
      </c>
      <c r="AV106" s="47" t="s">
        <v>184</v>
      </c>
      <c r="AW106" s="47" t="s">
        <v>1079</v>
      </c>
      <c r="AX106" s="47" t="s">
        <v>1078</v>
      </c>
      <c r="AY106" s="49">
        <v>40382</v>
      </c>
      <c r="AZ106" s="47" t="s">
        <v>80</v>
      </c>
      <c r="BA106" s="47"/>
      <c r="BB106" s="47" t="s">
        <v>2359</v>
      </c>
      <c r="BC106" s="47" t="s">
        <v>2542</v>
      </c>
      <c r="BD106" s="47">
        <v>523252614</v>
      </c>
      <c r="BE106" s="50">
        <v>3477</v>
      </c>
      <c r="BF106" s="53">
        <v>1243000</v>
      </c>
    </row>
    <row r="107" spans="1:58" s="51" customFormat="1" ht="23.4" hidden="1" x14ac:dyDescent="0.25">
      <c r="A107" s="46">
        <v>106</v>
      </c>
      <c r="B107" s="47">
        <v>4432</v>
      </c>
      <c r="C107" s="47">
        <v>1132156</v>
      </c>
      <c r="D107" s="47" t="s">
        <v>1080</v>
      </c>
      <c r="E107" s="47" t="s">
        <v>411</v>
      </c>
      <c r="F107" s="47" t="s">
        <v>515</v>
      </c>
      <c r="G107" s="47" t="str">
        <f>CONCATENATE(TRIM(الجدول2[[#This Row],[الاسم الأول]])," ",TRIM(الجدول2[[#This Row],[اسم الأب]])," ",TRIM(الجدول2[[#This Row],[الكنية]]))</f>
        <v>سميره سليمان حمود</v>
      </c>
      <c r="H107" s="47" t="s">
        <v>1081</v>
      </c>
      <c r="I107" s="48" t="s">
        <v>1082</v>
      </c>
      <c r="J107" s="47" t="s">
        <v>58</v>
      </c>
      <c r="K107" s="47" t="s">
        <v>59</v>
      </c>
      <c r="L107" s="47" t="s">
        <v>90</v>
      </c>
      <c r="M107" s="47" t="s">
        <v>629</v>
      </c>
      <c r="N107" s="47" t="s">
        <v>629</v>
      </c>
      <c r="O107" s="49">
        <v>25693</v>
      </c>
      <c r="P107" s="47" t="s">
        <v>1083</v>
      </c>
      <c r="Q107" s="47" t="s">
        <v>179</v>
      </c>
      <c r="R107" s="48" t="s">
        <v>1084</v>
      </c>
      <c r="S107" s="47" t="s">
        <v>109</v>
      </c>
      <c r="T107" s="47"/>
      <c r="U107" s="47">
        <v>4</v>
      </c>
      <c r="V107" s="47" t="s">
        <v>66</v>
      </c>
      <c r="W107" s="47" t="s">
        <v>67</v>
      </c>
      <c r="X107" s="47" t="s">
        <v>68</v>
      </c>
      <c r="Y107" s="47" t="s">
        <v>137</v>
      </c>
      <c r="Z107" s="47"/>
      <c r="AA107" s="47"/>
      <c r="AB107" s="47" t="s">
        <v>212</v>
      </c>
      <c r="AC107" s="47" t="s">
        <v>73</v>
      </c>
      <c r="AD107" s="47" t="s">
        <v>74</v>
      </c>
      <c r="AE107" s="49">
        <v>38795</v>
      </c>
      <c r="AF107" s="47" t="s">
        <v>123</v>
      </c>
      <c r="AG107" s="47"/>
      <c r="AH107" s="47" t="s">
        <v>157</v>
      </c>
      <c r="AI107" s="47" t="s">
        <v>143</v>
      </c>
      <c r="AJ107" s="47"/>
      <c r="AK107" s="47" t="s">
        <v>59</v>
      </c>
      <c r="AL107" s="47" t="s">
        <v>90</v>
      </c>
      <c r="AM107" s="47" t="s">
        <v>99</v>
      </c>
      <c r="AN107" s="47" t="s">
        <v>83</v>
      </c>
      <c r="AO107" s="47" t="s">
        <v>1085</v>
      </c>
      <c r="AP107" s="47" t="s">
        <v>342</v>
      </c>
      <c r="AQ107" s="47" t="s">
        <v>81</v>
      </c>
      <c r="AR107" s="47"/>
      <c r="AS107" s="47" t="s">
        <v>142</v>
      </c>
      <c r="AT107" s="47" t="s">
        <v>143</v>
      </c>
      <c r="AU107" s="47" t="s">
        <v>83</v>
      </c>
      <c r="AV107" s="47"/>
      <c r="AW107" s="47"/>
      <c r="AX107" s="47"/>
      <c r="AY107" s="49">
        <v>31239</v>
      </c>
      <c r="AZ107" s="47" t="s">
        <v>80</v>
      </c>
      <c r="BA107" s="47" t="s">
        <v>1086</v>
      </c>
      <c r="BB107" s="47" t="s">
        <v>2358</v>
      </c>
      <c r="BC107" s="47" t="s">
        <v>2542</v>
      </c>
      <c r="BD107" s="47">
        <v>526044929</v>
      </c>
      <c r="BE107" s="50">
        <v>9896</v>
      </c>
      <c r="BF107" s="53">
        <v>1185000</v>
      </c>
    </row>
    <row r="108" spans="1:58" s="51" customFormat="1" ht="23.4" hidden="1" x14ac:dyDescent="0.25">
      <c r="A108" s="46">
        <v>107</v>
      </c>
      <c r="B108" s="47">
        <v>4434</v>
      </c>
      <c r="C108" s="47"/>
      <c r="D108" s="47" t="s">
        <v>1087</v>
      </c>
      <c r="E108" s="47" t="s">
        <v>1088</v>
      </c>
      <c r="F108" s="47" t="s">
        <v>1088</v>
      </c>
      <c r="G108" s="47" t="str">
        <f>CONCATENATE(TRIM(الجدول2[[#This Row],[الاسم الأول]])," ",TRIM(الجدول2[[#This Row],[اسم الأب]])," ",TRIM(الجدول2[[#This Row],[الكنية]]))</f>
        <v>سنا غانم غانم</v>
      </c>
      <c r="H108" s="47" t="s">
        <v>1089</v>
      </c>
      <c r="I108" s="48" t="s">
        <v>1090</v>
      </c>
      <c r="J108" s="47" t="s">
        <v>58</v>
      </c>
      <c r="K108" s="47" t="s">
        <v>59</v>
      </c>
      <c r="L108" s="47" t="s">
        <v>59</v>
      </c>
      <c r="M108" s="47" t="s">
        <v>60</v>
      </c>
      <c r="N108" s="47" t="s">
        <v>59</v>
      </c>
      <c r="O108" s="49">
        <v>32660</v>
      </c>
      <c r="P108" s="47" t="s">
        <v>1091</v>
      </c>
      <c r="Q108" s="47" t="s">
        <v>179</v>
      </c>
      <c r="R108" s="48" t="s">
        <v>1092</v>
      </c>
      <c r="S108" s="47" t="s">
        <v>109</v>
      </c>
      <c r="T108" s="47"/>
      <c r="U108" s="47">
        <v>2</v>
      </c>
      <c r="V108" s="47" t="s">
        <v>66</v>
      </c>
      <c r="W108" s="47" t="s">
        <v>67</v>
      </c>
      <c r="X108" s="47" t="s">
        <v>68</v>
      </c>
      <c r="Y108" s="47" t="s">
        <v>726</v>
      </c>
      <c r="Z108" s="47"/>
      <c r="AA108" s="47"/>
      <c r="AB108" s="47" t="s">
        <v>491</v>
      </c>
      <c r="AC108" s="47" t="s">
        <v>73</v>
      </c>
      <c r="AD108" s="47" t="s">
        <v>74</v>
      </c>
      <c r="AE108" s="49">
        <v>40495</v>
      </c>
      <c r="AF108" s="47" t="s">
        <v>123</v>
      </c>
      <c r="AG108" s="47"/>
      <c r="AH108" s="47" t="s">
        <v>124</v>
      </c>
      <c r="AI108" s="47" t="s">
        <v>182</v>
      </c>
      <c r="AJ108" s="47" t="s">
        <v>595</v>
      </c>
      <c r="AK108" s="47" t="s">
        <v>59</v>
      </c>
      <c r="AL108" s="47" t="s">
        <v>59</v>
      </c>
      <c r="AM108" s="47" t="s">
        <v>99</v>
      </c>
      <c r="AN108" s="47" t="s">
        <v>83</v>
      </c>
      <c r="AO108" s="47" t="s">
        <v>1093</v>
      </c>
      <c r="AP108" s="47" t="s">
        <v>1094</v>
      </c>
      <c r="AQ108" s="47" t="s">
        <v>81</v>
      </c>
      <c r="AR108" s="47"/>
      <c r="AS108" s="47" t="s">
        <v>173</v>
      </c>
      <c r="AT108" s="47" t="s">
        <v>182</v>
      </c>
      <c r="AU108" s="47" t="s">
        <v>83</v>
      </c>
      <c r="AV108" s="47" t="s">
        <v>650</v>
      </c>
      <c r="AW108" s="47" t="s">
        <v>1095</v>
      </c>
      <c r="AX108" s="47" t="s">
        <v>595</v>
      </c>
      <c r="AY108" s="49">
        <v>40028</v>
      </c>
      <c r="AZ108" s="47" t="s">
        <v>80</v>
      </c>
      <c r="BA108" s="47"/>
      <c r="BB108" s="47" t="s">
        <v>2359</v>
      </c>
      <c r="BC108" s="47" t="s">
        <v>2542</v>
      </c>
      <c r="BD108" s="47">
        <v>523281025</v>
      </c>
      <c r="BE108" s="50">
        <v>3610</v>
      </c>
      <c r="BF108" s="53">
        <v>1243000</v>
      </c>
    </row>
    <row r="109" spans="1:58" s="51" customFormat="1" ht="23.4" hidden="1" x14ac:dyDescent="0.25">
      <c r="A109" s="46">
        <v>108</v>
      </c>
      <c r="B109" s="47">
        <v>4445</v>
      </c>
      <c r="C109" s="47">
        <v>1447200</v>
      </c>
      <c r="D109" s="47" t="s">
        <v>1096</v>
      </c>
      <c r="E109" s="47" t="s">
        <v>131</v>
      </c>
      <c r="F109" s="47" t="s">
        <v>810</v>
      </c>
      <c r="G109" s="47" t="str">
        <f>CONCATENATE(TRIM(الجدول2[[#This Row],[الاسم الأول]])," ",TRIM(الجدول2[[#This Row],[اسم الأب]])," ",TRIM(الجدول2[[#This Row],[الكنية]]))</f>
        <v>سناء علي ديب</v>
      </c>
      <c r="H109" s="47" t="s">
        <v>1097</v>
      </c>
      <c r="I109" s="48" t="s">
        <v>1098</v>
      </c>
      <c r="J109" s="47" t="s">
        <v>58</v>
      </c>
      <c r="K109" s="47" t="s">
        <v>59</v>
      </c>
      <c r="L109" s="47" t="s">
        <v>59</v>
      </c>
      <c r="M109" s="47" t="s">
        <v>60</v>
      </c>
      <c r="N109" s="47" t="s">
        <v>61</v>
      </c>
      <c r="O109" s="49">
        <v>31634</v>
      </c>
      <c r="P109" s="47" t="s">
        <v>1099</v>
      </c>
      <c r="Q109" s="47" t="s">
        <v>179</v>
      </c>
      <c r="R109" s="48" t="s">
        <v>1100</v>
      </c>
      <c r="S109" s="47" t="s">
        <v>65</v>
      </c>
      <c r="T109" s="47"/>
      <c r="U109" s="47"/>
      <c r="V109" s="47" t="s">
        <v>66</v>
      </c>
      <c r="W109" s="47" t="s">
        <v>67</v>
      </c>
      <c r="X109" s="47" t="s">
        <v>68</v>
      </c>
      <c r="Y109" s="47" t="s">
        <v>726</v>
      </c>
      <c r="Z109" s="47"/>
      <c r="AA109" s="47"/>
      <c r="AB109" s="47" t="s">
        <v>1101</v>
      </c>
      <c r="AC109" s="47" t="s">
        <v>73</v>
      </c>
      <c r="AD109" s="47" t="s">
        <v>74</v>
      </c>
      <c r="AE109" s="49">
        <v>41745</v>
      </c>
      <c r="AF109" s="47" t="s">
        <v>290</v>
      </c>
      <c r="AG109" s="47"/>
      <c r="AH109" s="47" t="s">
        <v>2277</v>
      </c>
      <c r="AI109" s="47" t="s">
        <v>327</v>
      </c>
      <c r="AJ109" s="47" t="s">
        <v>1102</v>
      </c>
      <c r="AK109" s="47" t="s">
        <v>59</v>
      </c>
      <c r="AL109" s="47" t="s">
        <v>59</v>
      </c>
      <c r="AM109" s="47" t="s">
        <v>99</v>
      </c>
      <c r="AN109" s="47" t="s">
        <v>80</v>
      </c>
      <c r="AO109" s="47"/>
      <c r="AP109" s="47"/>
      <c r="AQ109" s="47" t="s">
        <v>81</v>
      </c>
      <c r="AR109" s="47"/>
      <c r="AS109" s="47" t="s">
        <v>82</v>
      </c>
      <c r="AT109" s="47" t="s">
        <v>327</v>
      </c>
      <c r="AU109" s="47" t="s">
        <v>83</v>
      </c>
      <c r="AV109" s="47" t="s">
        <v>61</v>
      </c>
      <c r="AW109" s="47" t="s">
        <v>624</v>
      </c>
      <c r="AX109" s="47" t="s">
        <v>401</v>
      </c>
      <c r="AY109" s="49">
        <v>40393</v>
      </c>
      <c r="AZ109" s="47" t="s">
        <v>83</v>
      </c>
      <c r="BA109" s="47"/>
      <c r="BB109" s="47" t="s">
        <v>2359</v>
      </c>
      <c r="BC109" s="47" t="s">
        <v>2542</v>
      </c>
      <c r="BD109" s="47">
        <v>523992690</v>
      </c>
      <c r="BE109" s="50">
        <v>5143</v>
      </c>
      <c r="BF109" s="53">
        <v>1409000</v>
      </c>
    </row>
    <row r="110" spans="1:58" s="51" customFormat="1" ht="23.4" x14ac:dyDescent="0.25">
      <c r="A110" s="46">
        <v>109</v>
      </c>
      <c r="B110" s="47">
        <v>4512</v>
      </c>
      <c r="C110" s="47"/>
      <c r="D110" s="47" t="s">
        <v>1103</v>
      </c>
      <c r="E110" s="47" t="s">
        <v>1104</v>
      </c>
      <c r="F110" s="47" t="s">
        <v>81</v>
      </c>
      <c r="G110" s="47" t="str">
        <f>CONCATENATE(TRIM(الجدول2[[#This Row],[الاسم الأول]])," ",TRIM(الجدول2[[#This Row],[اسم الأب]])," ",TRIM(الجدول2[[#This Row],[الكنية]]))</f>
        <v>سوزان عبداللطيف سليم</v>
      </c>
      <c r="H110" s="47" t="s">
        <v>1105</v>
      </c>
      <c r="I110" s="48" t="s">
        <v>1106</v>
      </c>
      <c r="J110" s="47" t="s">
        <v>58</v>
      </c>
      <c r="K110" s="47" t="s">
        <v>59</v>
      </c>
      <c r="L110" s="47" t="s">
        <v>59</v>
      </c>
      <c r="M110" s="47" t="s">
        <v>60</v>
      </c>
      <c r="N110" s="47" t="s">
        <v>59</v>
      </c>
      <c r="O110" s="49">
        <v>33604</v>
      </c>
      <c r="P110" s="47" t="s">
        <v>1107</v>
      </c>
      <c r="Q110" s="47" t="s">
        <v>179</v>
      </c>
      <c r="R110" s="48" t="s">
        <v>1108</v>
      </c>
      <c r="S110" s="47" t="s">
        <v>109</v>
      </c>
      <c r="T110" s="47"/>
      <c r="U110" s="47">
        <v>2</v>
      </c>
      <c r="V110" s="47" t="s">
        <v>66</v>
      </c>
      <c r="W110" s="47" t="s">
        <v>67</v>
      </c>
      <c r="X110" s="47" t="s">
        <v>68</v>
      </c>
      <c r="Y110" s="47" t="s">
        <v>443</v>
      </c>
      <c r="Z110" s="47"/>
      <c r="AA110" s="47"/>
      <c r="AB110" s="47" t="s">
        <v>444</v>
      </c>
      <c r="AC110" s="47" t="s">
        <v>73</v>
      </c>
      <c r="AD110" s="47" t="s">
        <v>1573</v>
      </c>
      <c r="AE110" s="49">
        <v>41294</v>
      </c>
      <c r="AF110" s="47" t="s">
        <v>123</v>
      </c>
      <c r="AG110" s="47"/>
      <c r="AH110" s="47" t="s">
        <v>124</v>
      </c>
      <c r="AI110" s="47" t="s">
        <v>125</v>
      </c>
      <c r="AJ110" s="47"/>
      <c r="AK110" s="47" t="s">
        <v>59</v>
      </c>
      <c r="AL110" s="47" t="s">
        <v>59</v>
      </c>
      <c r="AM110" s="47" t="s">
        <v>99</v>
      </c>
      <c r="AN110" s="47" t="s">
        <v>80</v>
      </c>
      <c r="AO110" s="47"/>
      <c r="AP110" s="47"/>
      <c r="AQ110" s="47" t="s">
        <v>81</v>
      </c>
      <c r="AR110" s="47"/>
      <c r="AS110" s="47" t="s">
        <v>82</v>
      </c>
      <c r="AT110" s="47" t="s">
        <v>143</v>
      </c>
      <c r="AU110" s="47" t="s">
        <v>83</v>
      </c>
      <c r="AV110" s="47"/>
      <c r="AW110" s="47"/>
      <c r="AX110" s="47"/>
      <c r="AY110" s="49">
        <v>42943</v>
      </c>
      <c r="AZ110" s="47" t="s">
        <v>80</v>
      </c>
      <c r="BA110" s="47"/>
      <c r="BB110" s="47"/>
      <c r="BC110" s="47" t="s">
        <v>2542</v>
      </c>
      <c r="BD110" s="47">
        <v>526117248</v>
      </c>
      <c r="BE110" s="50">
        <v>11268</v>
      </c>
      <c r="BF110" s="53">
        <v>1004904</v>
      </c>
    </row>
    <row r="111" spans="1:58" s="51" customFormat="1" ht="23.4" hidden="1" x14ac:dyDescent="0.25">
      <c r="A111" s="46">
        <v>110</v>
      </c>
      <c r="B111" s="47">
        <v>4516</v>
      </c>
      <c r="C111" s="47"/>
      <c r="D111" s="47" t="s">
        <v>1103</v>
      </c>
      <c r="E111" s="47" t="s">
        <v>1109</v>
      </c>
      <c r="F111" s="47" t="s">
        <v>55</v>
      </c>
      <c r="G111" s="47" t="str">
        <f>CONCATENATE(TRIM(الجدول2[[#This Row],[الاسم الأول]])," ",TRIM(الجدول2[[#This Row],[اسم الأب]])," ",TRIM(الجدول2[[#This Row],[الكنية]]))</f>
        <v>سوزان عهد حسن</v>
      </c>
      <c r="H111" s="47" t="s">
        <v>1110</v>
      </c>
      <c r="I111" s="48" t="s">
        <v>1111</v>
      </c>
      <c r="J111" s="47" t="s">
        <v>58</v>
      </c>
      <c r="K111" s="47" t="s">
        <v>59</v>
      </c>
      <c r="L111" s="47" t="s">
        <v>164</v>
      </c>
      <c r="M111" s="47" t="s">
        <v>165</v>
      </c>
      <c r="N111" s="47" t="s">
        <v>164</v>
      </c>
      <c r="O111" s="49">
        <v>35871</v>
      </c>
      <c r="P111" s="47" t="s">
        <v>1112</v>
      </c>
      <c r="Q111" s="47" t="s">
        <v>179</v>
      </c>
      <c r="R111" s="48" t="s">
        <v>1113</v>
      </c>
      <c r="S111" s="47" t="s">
        <v>65</v>
      </c>
      <c r="T111" s="47"/>
      <c r="U111" s="47"/>
      <c r="V111" s="47" t="s">
        <v>66</v>
      </c>
      <c r="W111" s="47" t="s">
        <v>67</v>
      </c>
      <c r="X111" s="47" t="s">
        <v>68</v>
      </c>
      <c r="Y111" s="47" t="s">
        <v>69</v>
      </c>
      <c r="Z111" s="47"/>
      <c r="AA111" s="47"/>
      <c r="AB111" s="47" t="s">
        <v>212</v>
      </c>
      <c r="AC111" s="47" t="s">
        <v>155</v>
      </c>
      <c r="AD111" s="47" t="s">
        <v>74</v>
      </c>
      <c r="AE111" s="49">
        <v>43905</v>
      </c>
      <c r="AF111" s="47" t="s">
        <v>156</v>
      </c>
      <c r="AG111" s="47"/>
      <c r="AH111" s="47" t="s">
        <v>140</v>
      </c>
      <c r="AI111" s="47" t="s">
        <v>250</v>
      </c>
      <c r="AJ111" s="47"/>
      <c r="AK111" s="47" t="s">
        <v>59</v>
      </c>
      <c r="AL111" s="47" t="s">
        <v>164</v>
      </c>
      <c r="AM111" s="47" t="s">
        <v>99</v>
      </c>
      <c r="AN111" s="47" t="s">
        <v>80</v>
      </c>
      <c r="AO111" s="47"/>
      <c r="AP111" s="47"/>
      <c r="AQ111" s="47" t="s">
        <v>81</v>
      </c>
      <c r="AR111" s="47"/>
      <c r="AS111" s="47" t="s">
        <v>173</v>
      </c>
      <c r="AT111" s="47" t="s">
        <v>250</v>
      </c>
      <c r="AU111" s="47"/>
      <c r="AV111" s="47"/>
      <c r="AW111" s="47"/>
      <c r="AX111" s="47"/>
      <c r="AY111" s="49"/>
      <c r="AZ111" s="47" t="s">
        <v>80</v>
      </c>
      <c r="BA111" s="47"/>
      <c r="BB111" s="47" t="s">
        <v>2359</v>
      </c>
      <c r="BC111" s="47" t="s">
        <v>2542</v>
      </c>
      <c r="BD111" s="47">
        <v>524152861</v>
      </c>
      <c r="BE111" s="50">
        <v>6467</v>
      </c>
      <c r="BF111" s="53">
        <v>994128</v>
      </c>
    </row>
    <row r="112" spans="1:58" s="51" customFormat="1" ht="23.4" hidden="1" x14ac:dyDescent="0.25">
      <c r="A112" s="46">
        <v>111</v>
      </c>
      <c r="B112" s="47">
        <v>4520</v>
      </c>
      <c r="C112" s="47"/>
      <c r="D112" s="47" t="s">
        <v>1114</v>
      </c>
      <c r="E112" s="47" t="s">
        <v>86</v>
      </c>
      <c r="F112" s="47" t="s">
        <v>86</v>
      </c>
      <c r="G112" s="47" t="str">
        <f>CONCATENATE(TRIM(الجدول2[[#This Row],[الاسم الأول]])," ",TRIM(الجدول2[[#This Row],[اسم الأب]])," ",TRIM(الجدول2[[#This Row],[الكنية]]))</f>
        <v>سوسن احمد احمد</v>
      </c>
      <c r="H112" s="47" t="s">
        <v>1115</v>
      </c>
      <c r="I112" s="48" t="s">
        <v>1116</v>
      </c>
      <c r="J112" s="47" t="s">
        <v>58</v>
      </c>
      <c r="K112" s="47" t="s">
        <v>59</v>
      </c>
      <c r="L112" s="47" t="s">
        <v>59</v>
      </c>
      <c r="M112" s="47" t="s">
        <v>60</v>
      </c>
      <c r="N112" s="47" t="s">
        <v>59</v>
      </c>
      <c r="O112" s="49">
        <v>26007</v>
      </c>
      <c r="P112" s="47" t="s">
        <v>1117</v>
      </c>
      <c r="Q112" s="47" t="s">
        <v>179</v>
      </c>
      <c r="R112" s="48"/>
      <c r="S112" s="47" t="s">
        <v>109</v>
      </c>
      <c r="T112" s="47"/>
      <c r="U112" s="47">
        <v>2</v>
      </c>
      <c r="V112" s="47" t="s">
        <v>66</v>
      </c>
      <c r="W112" s="47" t="s">
        <v>67</v>
      </c>
      <c r="X112" s="47" t="s">
        <v>68</v>
      </c>
      <c r="Y112" s="47" t="s">
        <v>94</v>
      </c>
      <c r="Z112" s="47" t="s">
        <v>554</v>
      </c>
      <c r="AA112" s="47"/>
      <c r="AB112" s="47" t="s">
        <v>289</v>
      </c>
      <c r="AC112" s="47" t="s">
        <v>73</v>
      </c>
      <c r="AD112" s="47" t="s">
        <v>74</v>
      </c>
      <c r="AE112" s="49">
        <v>37094</v>
      </c>
      <c r="AF112" s="47" t="s">
        <v>123</v>
      </c>
      <c r="AG112" s="47"/>
      <c r="AH112" s="47" t="s">
        <v>124</v>
      </c>
      <c r="AI112" s="47" t="s">
        <v>125</v>
      </c>
      <c r="AJ112" s="47"/>
      <c r="AK112" s="47" t="s">
        <v>59</v>
      </c>
      <c r="AL112" s="47" t="s">
        <v>59</v>
      </c>
      <c r="AM112" s="47" t="s">
        <v>99</v>
      </c>
      <c r="AN112" s="47" t="s">
        <v>80</v>
      </c>
      <c r="AO112" s="47"/>
      <c r="AP112" s="47"/>
      <c r="AQ112" s="47" t="s">
        <v>81</v>
      </c>
      <c r="AR112" s="47"/>
      <c r="AS112" s="47"/>
      <c r="AT112" s="47" t="s">
        <v>128</v>
      </c>
      <c r="AU112" s="47" t="s">
        <v>83</v>
      </c>
      <c r="AV112" s="47"/>
      <c r="AW112" s="47"/>
      <c r="AX112" s="47" t="s">
        <v>129</v>
      </c>
      <c r="AY112" s="49">
        <v>33815</v>
      </c>
      <c r="AZ112" s="47" t="s">
        <v>80</v>
      </c>
      <c r="BA112" s="47"/>
      <c r="BB112" s="47" t="s">
        <v>2359</v>
      </c>
      <c r="BC112" s="47" t="s">
        <v>2542</v>
      </c>
      <c r="BD112" s="47">
        <v>528206347</v>
      </c>
      <c r="BE112" s="50">
        <v>23633</v>
      </c>
      <c r="BF112" s="53">
        <v>1243000</v>
      </c>
    </row>
    <row r="113" spans="1:58" s="51" customFormat="1" ht="23.4" hidden="1" x14ac:dyDescent="0.25">
      <c r="A113" s="46">
        <v>112</v>
      </c>
      <c r="B113" s="47">
        <v>4527</v>
      </c>
      <c r="C113" s="47"/>
      <c r="D113" s="47" t="s">
        <v>1114</v>
      </c>
      <c r="E113" s="47" t="s">
        <v>1118</v>
      </c>
      <c r="F113" s="47" t="s">
        <v>1001</v>
      </c>
      <c r="G113" s="47" t="str">
        <f>CONCATENATE(TRIM(الجدول2[[#This Row],[الاسم الأول]])," ",TRIM(الجدول2[[#This Row],[اسم الأب]])," ",TRIM(الجدول2[[#This Row],[الكنية]]))</f>
        <v>سوسن يحيى أحمد</v>
      </c>
      <c r="H113" s="47" t="s">
        <v>1119</v>
      </c>
      <c r="I113" s="48" t="s">
        <v>1120</v>
      </c>
      <c r="J113" s="47" t="s">
        <v>58</v>
      </c>
      <c r="K113" s="47" t="s">
        <v>59</v>
      </c>
      <c r="L113" s="47" t="s">
        <v>59</v>
      </c>
      <c r="M113" s="47" t="s">
        <v>60</v>
      </c>
      <c r="N113" s="47" t="s">
        <v>61</v>
      </c>
      <c r="O113" s="49">
        <v>31636</v>
      </c>
      <c r="P113" s="47" t="s">
        <v>1121</v>
      </c>
      <c r="Q113" s="47" t="s">
        <v>179</v>
      </c>
      <c r="R113" s="48" t="s">
        <v>1122</v>
      </c>
      <c r="S113" s="47" t="s">
        <v>109</v>
      </c>
      <c r="T113" s="47"/>
      <c r="U113" s="47">
        <v>1</v>
      </c>
      <c r="V113" s="47" t="s">
        <v>66</v>
      </c>
      <c r="W113" s="47" t="s">
        <v>67</v>
      </c>
      <c r="X113" s="47" t="s">
        <v>68</v>
      </c>
      <c r="Y113" s="47" t="s">
        <v>797</v>
      </c>
      <c r="Z113" s="47"/>
      <c r="AA113" s="47"/>
      <c r="AB113" s="47" t="s">
        <v>122</v>
      </c>
      <c r="AC113" s="47" t="s">
        <v>73</v>
      </c>
      <c r="AD113" s="47" t="s">
        <v>74</v>
      </c>
      <c r="AE113" s="49">
        <v>40860</v>
      </c>
      <c r="AF113" s="47" t="s">
        <v>156</v>
      </c>
      <c r="AG113" s="47"/>
      <c r="AH113" s="47" t="s">
        <v>124</v>
      </c>
      <c r="AI113" s="47" t="s">
        <v>182</v>
      </c>
      <c r="AJ113" s="47" t="s">
        <v>728</v>
      </c>
      <c r="AK113" s="47" t="s">
        <v>59</v>
      </c>
      <c r="AL113" s="47" t="s">
        <v>59</v>
      </c>
      <c r="AM113" s="47" t="s">
        <v>99</v>
      </c>
      <c r="AN113" s="47" t="s">
        <v>80</v>
      </c>
      <c r="AO113" s="47"/>
      <c r="AP113" s="47"/>
      <c r="AQ113" s="47" t="s">
        <v>81</v>
      </c>
      <c r="AR113" s="47"/>
      <c r="AS113" s="47" t="s">
        <v>368</v>
      </c>
      <c r="AT113" s="47" t="s">
        <v>182</v>
      </c>
      <c r="AU113" s="47" t="s">
        <v>83</v>
      </c>
      <c r="AV113" s="47" t="s">
        <v>425</v>
      </c>
      <c r="AW113" s="47" t="s">
        <v>728</v>
      </c>
      <c r="AX113" s="47" t="s">
        <v>186</v>
      </c>
      <c r="AY113" s="49">
        <v>39637</v>
      </c>
      <c r="AZ113" s="47" t="s">
        <v>80</v>
      </c>
      <c r="BA113" s="47"/>
      <c r="BB113" s="47" t="s">
        <v>2359</v>
      </c>
      <c r="BC113" s="47" t="s">
        <v>2542</v>
      </c>
      <c r="BD113" s="47">
        <v>526051049</v>
      </c>
      <c r="BE113" s="50">
        <v>10065</v>
      </c>
      <c r="BF113" s="53">
        <v>1243000</v>
      </c>
    </row>
    <row r="114" spans="1:58" s="51" customFormat="1" ht="23.4" hidden="1" x14ac:dyDescent="0.25">
      <c r="A114" s="46">
        <v>113</v>
      </c>
      <c r="B114" s="47">
        <v>4542</v>
      </c>
      <c r="C114" s="47">
        <v>1392098</v>
      </c>
      <c r="D114" s="47" t="s">
        <v>1123</v>
      </c>
      <c r="E114" s="47" t="s">
        <v>115</v>
      </c>
      <c r="F114" s="47" t="s">
        <v>411</v>
      </c>
      <c r="G114" s="47" t="str">
        <f>CONCATENATE(TRIM(الجدول2[[#This Row],[الاسم الأول]])," ",TRIM(الجدول2[[#This Row],[اسم الأب]])," ",TRIM(الجدول2[[#This Row],[الكنية]]))</f>
        <v>سونيا محمد سليمان</v>
      </c>
      <c r="H114" s="47" t="s">
        <v>1124</v>
      </c>
      <c r="I114" s="48" t="s">
        <v>1125</v>
      </c>
      <c r="J114" s="47" t="s">
        <v>58</v>
      </c>
      <c r="K114" s="47" t="s">
        <v>59</v>
      </c>
      <c r="L114" s="47" t="s">
        <v>59</v>
      </c>
      <c r="M114" s="47" t="s">
        <v>60</v>
      </c>
      <c r="N114" s="47" t="s">
        <v>629</v>
      </c>
      <c r="O114" s="49">
        <v>28029</v>
      </c>
      <c r="P114" s="47" t="s">
        <v>1126</v>
      </c>
      <c r="Q114" s="47" t="s">
        <v>179</v>
      </c>
      <c r="R114" s="48" t="s">
        <v>1127</v>
      </c>
      <c r="S114" s="47" t="s">
        <v>109</v>
      </c>
      <c r="T114" s="47"/>
      <c r="U114" s="47">
        <v>2</v>
      </c>
      <c r="V114" s="47" t="s">
        <v>66</v>
      </c>
      <c r="W114" s="47" t="s">
        <v>67</v>
      </c>
      <c r="X114" s="47" t="s">
        <v>68</v>
      </c>
      <c r="Y114" s="47" t="s">
        <v>137</v>
      </c>
      <c r="Z114" s="47"/>
      <c r="AA114" s="47"/>
      <c r="AB114" s="47" t="s">
        <v>668</v>
      </c>
      <c r="AC114" s="47" t="s">
        <v>73</v>
      </c>
      <c r="AD114" s="47" t="s">
        <v>74</v>
      </c>
      <c r="AE114" s="49">
        <v>35506</v>
      </c>
      <c r="AF114" s="47" t="s">
        <v>123</v>
      </c>
      <c r="AG114" s="47"/>
      <c r="AH114" s="47" t="s">
        <v>124</v>
      </c>
      <c r="AI114" s="47" t="s">
        <v>125</v>
      </c>
      <c r="AJ114" s="47"/>
      <c r="AK114" s="47" t="s">
        <v>59</v>
      </c>
      <c r="AL114" s="47" t="s">
        <v>59</v>
      </c>
      <c r="AM114" s="47" t="s">
        <v>99</v>
      </c>
      <c r="AN114" s="47" t="s">
        <v>80</v>
      </c>
      <c r="AO114" s="47"/>
      <c r="AP114" s="47"/>
      <c r="AQ114" s="47" t="s">
        <v>81</v>
      </c>
      <c r="AR114" s="47"/>
      <c r="AS114" s="47" t="s">
        <v>368</v>
      </c>
      <c r="AT114" s="47" t="s">
        <v>128</v>
      </c>
      <c r="AU114" s="47" t="s">
        <v>83</v>
      </c>
      <c r="AV114" s="47"/>
      <c r="AW114" s="47"/>
      <c r="AX114" s="47" t="s">
        <v>355</v>
      </c>
      <c r="AY114" s="49">
        <v>36354</v>
      </c>
      <c r="AZ114" s="47" t="s">
        <v>80</v>
      </c>
      <c r="BA114" s="47" t="s">
        <v>1128</v>
      </c>
      <c r="BB114" s="47" t="s">
        <v>2358</v>
      </c>
      <c r="BC114" s="47" t="s">
        <v>2542</v>
      </c>
      <c r="BD114" s="47">
        <v>526027083</v>
      </c>
      <c r="BE114" s="50">
        <v>9399</v>
      </c>
      <c r="BF114" s="53">
        <v>1243000</v>
      </c>
    </row>
    <row r="115" spans="1:58" s="51" customFormat="1" ht="23.4" hidden="1" x14ac:dyDescent="0.25">
      <c r="A115" s="46">
        <v>114</v>
      </c>
      <c r="B115" s="47">
        <v>4597</v>
      </c>
      <c r="C115" s="47"/>
      <c r="D115" s="47" t="s">
        <v>1129</v>
      </c>
      <c r="E115" s="47" t="s">
        <v>131</v>
      </c>
      <c r="F115" s="47" t="s">
        <v>411</v>
      </c>
      <c r="G115" s="47" t="str">
        <f>CONCATENATE(TRIM(الجدول2[[#This Row],[الاسم الأول]])," ",TRIM(الجدول2[[#This Row],[اسم الأب]])," ",TRIM(الجدول2[[#This Row],[الكنية]]))</f>
        <v>شاديا علي سليمان</v>
      </c>
      <c r="H115" s="47" t="s">
        <v>1130</v>
      </c>
      <c r="I115" s="48" t="s">
        <v>1131</v>
      </c>
      <c r="J115" s="47" t="s">
        <v>58</v>
      </c>
      <c r="K115" s="47" t="s">
        <v>59</v>
      </c>
      <c r="L115" s="47" t="s">
        <v>59</v>
      </c>
      <c r="M115" s="47" t="s">
        <v>60</v>
      </c>
      <c r="N115" s="47" t="s">
        <v>1132</v>
      </c>
      <c r="O115" s="49">
        <v>28469</v>
      </c>
      <c r="P115" s="47" t="s">
        <v>1133</v>
      </c>
      <c r="Q115" s="47" t="s">
        <v>179</v>
      </c>
      <c r="R115" s="48" t="s">
        <v>1134</v>
      </c>
      <c r="S115" s="47" t="s">
        <v>65</v>
      </c>
      <c r="T115" s="47"/>
      <c r="U115" s="47"/>
      <c r="V115" s="47" t="s">
        <v>66</v>
      </c>
      <c r="W115" s="47" t="s">
        <v>67</v>
      </c>
      <c r="X115" s="47" t="s">
        <v>68</v>
      </c>
      <c r="Y115" s="47" t="s">
        <v>94</v>
      </c>
      <c r="Z115" s="47" t="s">
        <v>221</v>
      </c>
      <c r="AA115" s="47" t="s">
        <v>1135</v>
      </c>
      <c r="AB115" s="47" t="s">
        <v>642</v>
      </c>
      <c r="AC115" s="47" t="s">
        <v>155</v>
      </c>
      <c r="AD115" s="47" t="s">
        <v>74</v>
      </c>
      <c r="AE115" s="49">
        <v>43905</v>
      </c>
      <c r="AF115" s="47" t="s">
        <v>123</v>
      </c>
      <c r="AG115" s="47"/>
      <c r="AH115" s="47" t="s">
        <v>140</v>
      </c>
      <c r="AI115" s="47" t="s">
        <v>143</v>
      </c>
      <c r="AJ115" s="47"/>
      <c r="AK115" s="47" t="s">
        <v>59</v>
      </c>
      <c r="AL115" s="47" t="s">
        <v>59</v>
      </c>
      <c r="AM115" s="47" t="s">
        <v>99</v>
      </c>
      <c r="AN115" s="47" t="s">
        <v>80</v>
      </c>
      <c r="AO115" s="47"/>
      <c r="AP115" s="47"/>
      <c r="AQ115" s="47" t="s">
        <v>81</v>
      </c>
      <c r="AR115" s="47"/>
      <c r="AS115" s="47" t="s">
        <v>173</v>
      </c>
      <c r="AT115" s="47" t="s">
        <v>143</v>
      </c>
      <c r="AU115" s="47" t="s">
        <v>83</v>
      </c>
      <c r="AV115" s="47"/>
      <c r="AW115" s="47"/>
      <c r="AX115" s="47"/>
      <c r="AY115" s="49">
        <v>34904</v>
      </c>
      <c r="AZ115" s="47" t="s">
        <v>80</v>
      </c>
      <c r="BA115" s="47"/>
      <c r="BB115" s="47" t="s">
        <v>2359</v>
      </c>
      <c r="BC115" s="47" t="s">
        <v>2542</v>
      </c>
      <c r="BD115" s="47">
        <v>524112734</v>
      </c>
      <c r="BE115" s="50">
        <v>6188</v>
      </c>
      <c r="BF115" s="53">
        <v>994128</v>
      </c>
    </row>
    <row r="116" spans="1:58" s="51" customFormat="1" ht="23.4" hidden="1" x14ac:dyDescent="0.25">
      <c r="A116" s="46">
        <v>115</v>
      </c>
      <c r="B116" s="47">
        <v>4689</v>
      </c>
      <c r="C116" s="47">
        <v>995647</v>
      </c>
      <c r="D116" s="47" t="s">
        <v>1136</v>
      </c>
      <c r="E116" s="47" t="s">
        <v>131</v>
      </c>
      <c r="F116" s="47" t="s">
        <v>1137</v>
      </c>
      <c r="G116" s="47" t="str">
        <f>CONCATENATE(TRIM(الجدول2[[#This Row],[الاسم الأول]])," ",TRIM(الجدول2[[#This Row],[اسم الأب]])," ",TRIM(الجدول2[[#This Row],[الكنية]]))</f>
        <v>شيراز علي ونوس</v>
      </c>
      <c r="H116" s="47" t="s">
        <v>1138</v>
      </c>
      <c r="I116" s="48" t="s">
        <v>1139</v>
      </c>
      <c r="J116" s="47" t="s">
        <v>58</v>
      </c>
      <c r="K116" s="47" t="s">
        <v>59</v>
      </c>
      <c r="L116" s="47" t="s">
        <v>59</v>
      </c>
      <c r="M116" s="47" t="s">
        <v>60</v>
      </c>
      <c r="N116" s="47" t="s">
        <v>1140</v>
      </c>
      <c r="O116" s="49">
        <v>27279</v>
      </c>
      <c r="P116" s="47" t="s">
        <v>1141</v>
      </c>
      <c r="Q116" s="47" t="s">
        <v>179</v>
      </c>
      <c r="R116" s="48" t="s">
        <v>1142</v>
      </c>
      <c r="S116" s="47" t="s">
        <v>65</v>
      </c>
      <c r="T116" s="47"/>
      <c r="U116" s="47"/>
      <c r="V116" s="47" t="s">
        <v>66</v>
      </c>
      <c r="W116" s="47" t="s">
        <v>67</v>
      </c>
      <c r="X116" s="47" t="s">
        <v>68</v>
      </c>
      <c r="Y116" s="47" t="s">
        <v>137</v>
      </c>
      <c r="Z116" s="47"/>
      <c r="AA116" s="47"/>
      <c r="AB116" s="47" t="s">
        <v>289</v>
      </c>
      <c r="AC116" s="47" t="s">
        <v>73</v>
      </c>
      <c r="AD116" s="47" t="s">
        <v>74</v>
      </c>
      <c r="AE116" s="49">
        <v>33879</v>
      </c>
      <c r="AF116" s="47" t="s">
        <v>139</v>
      </c>
      <c r="AG116" s="47"/>
      <c r="AH116" s="47" t="s">
        <v>157</v>
      </c>
      <c r="AI116" s="47" t="s">
        <v>143</v>
      </c>
      <c r="AJ116" s="47"/>
      <c r="AK116" s="47" t="s">
        <v>59</v>
      </c>
      <c r="AL116" s="47" t="s">
        <v>59</v>
      </c>
      <c r="AM116" s="47" t="s">
        <v>99</v>
      </c>
      <c r="AN116" s="47" t="s">
        <v>80</v>
      </c>
      <c r="AO116" s="47"/>
      <c r="AP116" s="47"/>
      <c r="AQ116" s="47" t="s">
        <v>81</v>
      </c>
      <c r="AR116" s="47"/>
      <c r="AS116" s="47" t="s">
        <v>82</v>
      </c>
      <c r="AT116" s="47" t="s">
        <v>143</v>
      </c>
      <c r="AU116" s="47" t="s">
        <v>83</v>
      </c>
      <c r="AV116" s="47"/>
      <c r="AW116" s="47"/>
      <c r="AX116" s="47"/>
      <c r="AY116" s="49">
        <v>33092</v>
      </c>
      <c r="AZ116" s="47" t="s">
        <v>80</v>
      </c>
      <c r="BA116" s="47" t="s">
        <v>1143</v>
      </c>
      <c r="BB116" s="47" t="s">
        <v>2358</v>
      </c>
      <c r="BC116" s="47" t="s">
        <v>2542</v>
      </c>
      <c r="BD116" s="47">
        <v>527425125</v>
      </c>
      <c r="BE116" s="50">
        <v>19536</v>
      </c>
      <c r="BF116" s="53">
        <v>1185000</v>
      </c>
    </row>
    <row r="117" spans="1:58" s="51" customFormat="1" ht="23.4" hidden="1" x14ac:dyDescent="0.25">
      <c r="A117" s="46">
        <v>116</v>
      </c>
      <c r="B117" s="47">
        <v>4765</v>
      </c>
      <c r="C117" s="47">
        <v>1447241</v>
      </c>
      <c r="D117" s="47" t="s">
        <v>1144</v>
      </c>
      <c r="E117" s="47" t="s">
        <v>751</v>
      </c>
      <c r="F117" s="47" t="s">
        <v>86</v>
      </c>
      <c r="G117" s="47" t="str">
        <f>CONCATENATE(TRIM(الجدول2[[#This Row],[الاسم الأول]])," ",TRIM(الجدول2[[#This Row],[اسم الأب]])," ",TRIM(الجدول2[[#This Row],[الكنية]]))</f>
        <v>صبا محرز احمد</v>
      </c>
      <c r="H117" s="47" t="s">
        <v>1145</v>
      </c>
      <c r="I117" s="48" t="s">
        <v>1146</v>
      </c>
      <c r="J117" s="47" t="s">
        <v>58</v>
      </c>
      <c r="K117" s="47" t="s">
        <v>59</v>
      </c>
      <c r="L117" s="47" t="s">
        <v>59</v>
      </c>
      <c r="M117" s="47" t="s">
        <v>60</v>
      </c>
      <c r="N117" s="47" t="s">
        <v>59</v>
      </c>
      <c r="O117" s="49">
        <v>32009</v>
      </c>
      <c r="P117" s="47" t="s">
        <v>1147</v>
      </c>
      <c r="Q117" s="47" t="s">
        <v>179</v>
      </c>
      <c r="R117" s="48" t="s">
        <v>1148</v>
      </c>
      <c r="S117" s="47" t="s">
        <v>65</v>
      </c>
      <c r="T117" s="47"/>
      <c r="U117" s="47"/>
      <c r="V117" s="47" t="s">
        <v>66</v>
      </c>
      <c r="W117" s="47" t="s">
        <v>67</v>
      </c>
      <c r="X117" s="47" t="s">
        <v>68</v>
      </c>
      <c r="Y117" s="47" t="s">
        <v>94</v>
      </c>
      <c r="Z117" s="47" t="s">
        <v>864</v>
      </c>
      <c r="AA117" s="47"/>
      <c r="AB117" s="47" t="s">
        <v>1149</v>
      </c>
      <c r="AC117" s="47" t="s">
        <v>73</v>
      </c>
      <c r="AD117" s="47" t="s">
        <v>74</v>
      </c>
      <c r="AE117" s="49">
        <v>40834</v>
      </c>
      <c r="AF117" s="47" t="s">
        <v>290</v>
      </c>
      <c r="AG117" s="47"/>
      <c r="AH117" s="47" t="s">
        <v>2277</v>
      </c>
      <c r="AI117" s="47" t="s">
        <v>327</v>
      </c>
      <c r="AJ117" s="47" t="s">
        <v>686</v>
      </c>
      <c r="AK117" s="47" t="s">
        <v>59</v>
      </c>
      <c r="AL117" s="47" t="s">
        <v>59</v>
      </c>
      <c r="AM117" s="47" t="s">
        <v>99</v>
      </c>
      <c r="AN117" s="47" t="s">
        <v>80</v>
      </c>
      <c r="AO117" s="47"/>
      <c r="AP117" s="47"/>
      <c r="AQ117" s="47" t="s">
        <v>81</v>
      </c>
      <c r="AR117" s="47"/>
      <c r="AS117" s="47" t="s">
        <v>82</v>
      </c>
      <c r="AT117" s="47" t="s">
        <v>327</v>
      </c>
      <c r="AU117" s="47" t="s">
        <v>83</v>
      </c>
      <c r="AV117" s="47" t="s">
        <v>84</v>
      </c>
      <c r="AW117" s="47" t="s">
        <v>686</v>
      </c>
      <c r="AX117" s="47" t="s">
        <v>686</v>
      </c>
      <c r="AY117" s="49">
        <v>40424</v>
      </c>
      <c r="AZ117" s="47" t="s">
        <v>83</v>
      </c>
      <c r="BA117" s="47"/>
      <c r="BB117" s="47" t="s">
        <v>2359</v>
      </c>
      <c r="BC117" s="47" t="s">
        <v>2542</v>
      </c>
      <c r="BD117" s="47">
        <v>522398569</v>
      </c>
      <c r="BE117" s="50">
        <v>1080</v>
      </c>
      <c r="BF117" s="53">
        <v>1409000</v>
      </c>
    </row>
    <row r="118" spans="1:58" s="51" customFormat="1" ht="23.4" hidden="1" x14ac:dyDescent="0.25">
      <c r="A118" s="46">
        <v>117</v>
      </c>
      <c r="B118" s="47">
        <v>4799</v>
      </c>
      <c r="C118" s="47"/>
      <c r="D118" s="47" t="s">
        <v>1150</v>
      </c>
      <c r="E118" s="47" t="s">
        <v>131</v>
      </c>
      <c r="F118" s="47" t="s">
        <v>1137</v>
      </c>
      <c r="G118" s="47" t="str">
        <f>CONCATENATE(TRIM(الجدول2[[#This Row],[الاسم الأول]])," ",TRIM(الجدول2[[#This Row],[اسم الأب]])," ",TRIM(الجدول2[[#This Row],[الكنية]]))</f>
        <v>صديقة علي ونوس</v>
      </c>
      <c r="H118" s="47" t="s">
        <v>1151</v>
      </c>
      <c r="I118" s="48" t="s">
        <v>1152</v>
      </c>
      <c r="J118" s="47" t="s">
        <v>58</v>
      </c>
      <c r="K118" s="47" t="s">
        <v>59</v>
      </c>
      <c r="L118" s="47" t="s">
        <v>59</v>
      </c>
      <c r="M118" s="47" t="s">
        <v>60</v>
      </c>
      <c r="N118" s="47" t="s">
        <v>59</v>
      </c>
      <c r="O118" s="49">
        <v>25270</v>
      </c>
      <c r="P118" s="47" t="s">
        <v>1153</v>
      </c>
      <c r="Q118" s="47" t="s">
        <v>179</v>
      </c>
      <c r="R118" s="48" t="s">
        <v>1154</v>
      </c>
      <c r="S118" s="47" t="s">
        <v>65</v>
      </c>
      <c r="T118" s="47"/>
      <c r="U118" s="47"/>
      <c r="V118" s="47" t="s">
        <v>66</v>
      </c>
      <c r="W118" s="47" t="s">
        <v>67</v>
      </c>
      <c r="X118" s="47" t="s">
        <v>68</v>
      </c>
      <c r="Y118" s="47" t="s">
        <v>121</v>
      </c>
      <c r="Z118" s="47"/>
      <c r="AA118" s="47"/>
      <c r="AB118" s="47" t="s">
        <v>212</v>
      </c>
      <c r="AC118" s="47" t="s">
        <v>155</v>
      </c>
      <c r="AD118" s="47" t="s">
        <v>74</v>
      </c>
      <c r="AE118" s="49">
        <v>43905</v>
      </c>
      <c r="AF118" s="47" t="s">
        <v>156</v>
      </c>
      <c r="AG118" s="47"/>
      <c r="AH118" s="47" t="s">
        <v>157</v>
      </c>
      <c r="AI118" s="47" t="s">
        <v>143</v>
      </c>
      <c r="AJ118" s="47"/>
      <c r="AK118" s="47" t="s">
        <v>59</v>
      </c>
      <c r="AL118" s="47" t="s">
        <v>59</v>
      </c>
      <c r="AM118" s="47" t="s">
        <v>99</v>
      </c>
      <c r="AN118" s="47" t="s">
        <v>80</v>
      </c>
      <c r="AO118" s="47"/>
      <c r="AP118" s="47"/>
      <c r="AQ118" s="47" t="s">
        <v>81</v>
      </c>
      <c r="AR118" s="47"/>
      <c r="AS118" s="47" t="s">
        <v>82</v>
      </c>
      <c r="AT118" s="47" t="s">
        <v>143</v>
      </c>
      <c r="AU118" s="47" t="s">
        <v>83</v>
      </c>
      <c r="AV118" s="47"/>
      <c r="AW118" s="47"/>
      <c r="AX118" s="47"/>
      <c r="AY118" s="49">
        <v>31262</v>
      </c>
      <c r="AZ118" s="47" t="s">
        <v>80</v>
      </c>
      <c r="BA118" s="47"/>
      <c r="BB118" s="47" t="s">
        <v>2359</v>
      </c>
      <c r="BC118" s="47" t="s">
        <v>2542</v>
      </c>
      <c r="BD118" s="47">
        <v>526023407</v>
      </c>
      <c r="BE118" s="50">
        <v>9287</v>
      </c>
      <c r="BF118" s="53">
        <v>994128</v>
      </c>
    </row>
    <row r="119" spans="1:58" s="51" customFormat="1" ht="23.4" hidden="1" x14ac:dyDescent="0.25">
      <c r="A119" s="46">
        <v>118</v>
      </c>
      <c r="B119" s="47">
        <v>4881</v>
      </c>
      <c r="C119" s="47"/>
      <c r="D119" s="47" t="s">
        <v>1155</v>
      </c>
      <c r="E119" s="47" t="s">
        <v>1156</v>
      </c>
      <c r="F119" s="47" t="s">
        <v>228</v>
      </c>
      <c r="G119" s="47" t="str">
        <f>CONCATENATE(TRIM(الجدول2[[#This Row],[الاسم الأول]])," ",TRIM(الجدول2[[#This Row],[اسم الأب]])," ",TRIM(الجدول2[[#This Row],[الكنية]]))</f>
        <v>طارق اسكندر محمود</v>
      </c>
      <c r="H119" s="47" t="s">
        <v>1157</v>
      </c>
      <c r="I119" s="48" t="s">
        <v>1158</v>
      </c>
      <c r="J119" s="47" t="s">
        <v>58</v>
      </c>
      <c r="K119" s="47" t="s">
        <v>59</v>
      </c>
      <c r="L119" s="47" t="s">
        <v>59</v>
      </c>
      <c r="M119" s="47" t="s">
        <v>60</v>
      </c>
      <c r="N119" s="47" t="s">
        <v>59</v>
      </c>
      <c r="O119" s="49">
        <v>31269</v>
      </c>
      <c r="P119" s="47" t="s">
        <v>1159</v>
      </c>
      <c r="Q119" s="47" t="s">
        <v>63</v>
      </c>
      <c r="R119" s="48" t="s">
        <v>1160</v>
      </c>
      <c r="S119" s="47" t="s">
        <v>109</v>
      </c>
      <c r="T119" s="47">
        <v>1</v>
      </c>
      <c r="U119" s="47">
        <v>3</v>
      </c>
      <c r="V119" s="47" t="s">
        <v>66</v>
      </c>
      <c r="W119" s="47" t="s">
        <v>67</v>
      </c>
      <c r="X119" s="47" t="s">
        <v>68</v>
      </c>
      <c r="Y119" s="47" t="s">
        <v>137</v>
      </c>
      <c r="Z119" s="47"/>
      <c r="AA119" s="47"/>
      <c r="AB119" s="47" t="s">
        <v>491</v>
      </c>
      <c r="AC119" s="47" t="s">
        <v>73</v>
      </c>
      <c r="AD119" s="47" t="s">
        <v>74</v>
      </c>
      <c r="AE119" s="49">
        <v>40829</v>
      </c>
      <c r="AF119" s="47" t="s">
        <v>123</v>
      </c>
      <c r="AG119" s="47"/>
      <c r="AH119" s="47" t="s">
        <v>124</v>
      </c>
      <c r="AI119" s="47" t="s">
        <v>182</v>
      </c>
      <c r="AJ119" s="47" t="s">
        <v>1161</v>
      </c>
      <c r="AK119" s="47" t="s">
        <v>59</v>
      </c>
      <c r="AL119" s="47" t="s">
        <v>164</v>
      </c>
      <c r="AM119" s="47" t="s">
        <v>99</v>
      </c>
      <c r="AN119" s="47" t="s">
        <v>83</v>
      </c>
      <c r="AO119" s="47" t="s">
        <v>1162</v>
      </c>
      <c r="AP119" s="47" t="s">
        <v>1163</v>
      </c>
      <c r="AQ119" s="47" t="s">
        <v>81</v>
      </c>
      <c r="AR119" s="47"/>
      <c r="AS119" s="47" t="s">
        <v>173</v>
      </c>
      <c r="AT119" s="47" t="s">
        <v>182</v>
      </c>
      <c r="AU119" s="47" t="s">
        <v>83</v>
      </c>
      <c r="AV119" s="47" t="s">
        <v>907</v>
      </c>
      <c r="AW119" s="47" t="s">
        <v>84</v>
      </c>
      <c r="AX119" s="47" t="s">
        <v>186</v>
      </c>
      <c r="AY119" s="49">
        <v>39873</v>
      </c>
      <c r="AZ119" s="47" t="s">
        <v>80</v>
      </c>
      <c r="BA119" s="47" t="s">
        <v>1164</v>
      </c>
      <c r="BB119" s="47" t="s">
        <v>2358</v>
      </c>
      <c r="BC119" s="47" t="s">
        <v>2542</v>
      </c>
      <c r="BD119" s="47">
        <v>523265768</v>
      </c>
      <c r="BE119" s="50">
        <v>3546</v>
      </c>
      <c r="BF119" s="53">
        <v>1243000</v>
      </c>
    </row>
    <row r="120" spans="1:58" s="51" customFormat="1" ht="23.4" hidden="1" x14ac:dyDescent="0.25">
      <c r="A120" s="46">
        <v>119</v>
      </c>
      <c r="B120" s="47">
        <v>4900</v>
      </c>
      <c r="C120" s="47">
        <v>1149697</v>
      </c>
      <c r="D120" s="47" t="s">
        <v>1165</v>
      </c>
      <c r="E120" s="47" t="s">
        <v>131</v>
      </c>
      <c r="F120" s="47" t="s">
        <v>1166</v>
      </c>
      <c r="G120" s="47" t="str">
        <f>CONCATENATE(TRIM(الجدول2[[#This Row],[الاسم الأول]])," ",TRIM(الجدول2[[#This Row],[اسم الأب]])," ",TRIM(الجدول2[[#This Row],[الكنية]]))</f>
        <v>طالب علي العلي</v>
      </c>
      <c r="H120" s="47" t="s">
        <v>1167</v>
      </c>
      <c r="I120" s="48" t="s">
        <v>1168</v>
      </c>
      <c r="J120" s="47" t="s">
        <v>58</v>
      </c>
      <c r="K120" s="47" t="s">
        <v>59</v>
      </c>
      <c r="L120" s="47" t="s">
        <v>105</v>
      </c>
      <c r="M120" s="47" t="s">
        <v>106</v>
      </c>
      <c r="N120" s="47" t="s">
        <v>1169</v>
      </c>
      <c r="O120" s="49">
        <v>25600</v>
      </c>
      <c r="P120" s="47" t="s">
        <v>1170</v>
      </c>
      <c r="Q120" s="47" t="s">
        <v>63</v>
      </c>
      <c r="R120" s="48" t="s">
        <v>1171</v>
      </c>
      <c r="S120" s="47" t="s">
        <v>109</v>
      </c>
      <c r="T120" s="47">
        <v>1</v>
      </c>
      <c r="U120" s="47">
        <v>3</v>
      </c>
      <c r="V120" s="47" t="s">
        <v>66</v>
      </c>
      <c r="W120" s="47" t="s">
        <v>67</v>
      </c>
      <c r="X120" s="47" t="s">
        <v>68</v>
      </c>
      <c r="Y120" s="47" t="s">
        <v>246</v>
      </c>
      <c r="Z120" s="47" t="s">
        <v>1172</v>
      </c>
      <c r="AA120" s="47" t="s">
        <v>1173</v>
      </c>
      <c r="AB120" s="47" t="s">
        <v>249</v>
      </c>
      <c r="AC120" s="47" t="s">
        <v>73</v>
      </c>
      <c r="AD120" s="47" t="s">
        <v>74</v>
      </c>
      <c r="AE120" s="49">
        <v>35673</v>
      </c>
      <c r="AF120" s="47" t="s">
        <v>123</v>
      </c>
      <c r="AG120" s="47"/>
      <c r="AH120" s="47" t="s">
        <v>157</v>
      </c>
      <c r="AI120" s="47" t="s">
        <v>250</v>
      </c>
      <c r="AJ120" s="47"/>
      <c r="AK120" s="47" t="s">
        <v>59</v>
      </c>
      <c r="AL120" s="47" t="s">
        <v>105</v>
      </c>
      <c r="AM120" s="47" t="s">
        <v>99</v>
      </c>
      <c r="AN120" s="47" t="s">
        <v>80</v>
      </c>
      <c r="AO120" s="47"/>
      <c r="AP120" s="47"/>
      <c r="AQ120" s="47" t="s">
        <v>81</v>
      </c>
      <c r="AR120" s="47"/>
      <c r="AS120" s="47" t="s">
        <v>446</v>
      </c>
      <c r="AT120" s="47" t="s">
        <v>250</v>
      </c>
      <c r="AU120" s="47"/>
      <c r="AV120" s="47"/>
      <c r="AW120" s="47"/>
      <c r="AX120" s="47"/>
      <c r="AY120" s="49"/>
      <c r="AZ120" s="47" t="s">
        <v>80</v>
      </c>
      <c r="BA120" s="47"/>
      <c r="BB120" s="47" t="s">
        <v>2359</v>
      </c>
      <c r="BC120" s="47" t="s">
        <v>2542</v>
      </c>
      <c r="BD120" s="47">
        <v>523224981</v>
      </c>
      <c r="BE120" s="50">
        <v>3295</v>
      </c>
      <c r="BF120" s="53">
        <v>1125096</v>
      </c>
    </row>
    <row r="121" spans="1:58" s="51" customFormat="1" ht="23.4" hidden="1" x14ac:dyDescent="0.25">
      <c r="A121" s="46">
        <v>120</v>
      </c>
      <c r="B121" s="47">
        <v>4937</v>
      </c>
      <c r="C121" s="47">
        <v>1634834</v>
      </c>
      <c r="D121" s="47" t="s">
        <v>1174</v>
      </c>
      <c r="E121" s="47" t="s">
        <v>792</v>
      </c>
      <c r="F121" s="47" t="s">
        <v>1175</v>
      </c>
      <c r="G121" s="47" t="str">
        <f>CONCATENATE(TRIM(الجدول2[[#This Row],[الاسم الأول]])," ",TRIM(الجدول2[[#This Row],[اسم الأب]])," ",TRIM(الجدول2[[#This Row],[الكنية]]))</f>
        <v>طوني نبيل عبيد</v>
      </c>
      <c r="H121" s="47" t="s">
        <v>1176</v>
      </c>
      <c r="I121" s="48" t="s">
        <v>1177</v>
      </c>
      <c r="J121" s="47" t="s">
        <v>58</v>
      </c>
      <c r="K121" s="47" t="s">
        <v>59</v>
      </c>
      <c r="L121" s="47" t="s">
        <v>164</v>
      </c>
      <c r="M121" s="47" t="s">
        <v>165</v>
      </c>
      <c r="N121" s="47" t="s">
        <v>164</v>
      </c>
      <c r="O121" s="49">
        <v>32775</v>
      </c>
      <c r="P121" s="47" t="s">
        <v>1178</v>
      </c>
      <c r="Q121" s="47" t="s">
        <v>63</v>
      </c>
      <c r="R121" s="48" t="s">
        <v>1179</v>
      </c>
      <c r="S121" s="47" t="s">
        <v>65</v>
      </c>
      <c r="T121" s="47"/>
      <c r="U121" s="47"/>
      <c r="V121" s="47" t="s">
        <v>66</v>
      </c>
      <c r="W121" s="47" t="s">
        <v>67</v>
      </c>
      <c r="X121" s="47" t="s">
        <v>68</v>
      </c>
      <c r="Y121" s="47" t="s">
        <v>69</v>
      </c>
      <c r="Z121" s="47" t="s">
        <v>258</v>
      </c>
      <c r="AA121" s="47" t="s">
        <v>1180</v>
      </c>
      <c r="AB121" s="47" t="s">
        <v>529</v>
      </c>
      <c r="AC121" s="47" t="s">
        <v>73</v>
      </c>
      <c r="AD121" s="47" t="s">
        <v>74</v>
      </c>
      <c r="AE121" s="49">
        <v>41276</v>
      </c>
      <c r="AF121" s="47" t="s">
        <v>123</v>
      </c>
      <c r="AG121" s="47"/>
      <c r="AH121" s="47" t="s">
        <v>124</v>
      </c>
      <c r="AI121" s="47" t="s">
        <v>182</v>
      </c>
      <c r="AJ121" s="47" t="s">
        <v>1181</v>
      </c>
      <c r="AK121" s="47" t="s">
        <v>59</v>
      </c>
      <c r="AL121" s="47" t="s">
        <v>164</v>
      </c>
      <c r="AM121" s="47" t="s">
        <v>99</v>
      </c>
      <c r="AN121" s="47" t="s">
        <v>80</v>
      </c>
      <c r="AO121" s="47"/>
      <c r="AP121" s="47"/>
      <c r="AQ121" s="47" t="s">
        <v>81</v>
      </c>
      <c r="AR121" s="47"/>
      <c r="AS121" s="47" t="s">
        <v>236</v>
      </c>
      <c r="AT121" s="47" t="s">
        <v>182</v>
      </c>
      <c r="AU121" s="47" t="s">
        <v>83</v>
      </c>
      <c r="AV121" s="47" t="s">
        <v>84</v>
      </c>
      <c r="AW121" s="47" t="s">
        <v>1181</v>
      </c>
      <c r="AX121" s="47" t="s">
        <v>1181</v>
      </c>
      <c r="AY121" s="49">
        <v>40582</v>
      </c>
      <c r="AZ121" s="47" t="s">
        <v>80</v>
      </c>
      <c r="BA121" s="47"/>
      <c r="BB121" s="47" t="s">
        <v>2359</v>
      </c>
      <c r="BC121" s="47" t="s">
        <v>2542</v>
      </c>
      <c r="BD121" s="47">
        <v>524107732</v>
      </c>
      <c r="BE121" s="50">
        <v>6155</v>
      </c>
      <c r="BF121" s="53">
        <v>1243000</v>
      </c>
    </row>
    <row r="122" spans="1:58" s="51" customFormat="1" ht="23.4" hidden="1" x14ac:dyDescent="0.25">
      <c r="A122" s="46">
        <v>121</v>
      </c>
      <c r="B122" s="47">
        <v>4967</v>
      </c>
      <c r="C122" s="47"/>
      <c r="D122" s="47" t="s">
        <v>1182</v>
      </c>
      <c r="E122" s="47" t="s">
        <v>1183</v>
      </c>
      <c r="F122" s="47" t="s">
        <v>115</v>
      </c>
      <c r="G122" s="47" t="str">
        <f>CONCATENATE(TRIM(الجدول2[[#This Row],[الاسم الأول]])," ",TRIM(الجدول2[[#This Row],[اسم الأب]])," ",TRIM(الجدول2[[#This Row],[الكنية]]))</f>
        <v>عاصم عزت محمد</v>
      </c>
      <c r="H122" s="47" t="s">
        <v>1184</v>
      </c>
      <c r="I122" s="48" t="s">
        <v>1185</v>
      </c>
      <c r="J122" s="47" t="s">
        <v>58</v>
      </c>
      <c r="K122" s="47" t="s">
        <v>59</v>
      </c>
      <c r="L122" s="47" t="s">
        <v>164</v>
      </c>
      <c r="M122" s="47" t="s">
        <v>165</v>
      </c>
      <c r="N122" s="47" t="s">
        <v>1186</v>
      </c>
      <c r="O122" s="49">
        <v>29956</v>
      </c>
      <c r="P122" s="47" t="s">
        <v>1187</v>
      </c>
      <c r="Q122" s="47" t="s">
        <v>63</v>
      </c>
      <c r="R122" s="48" t="s">
        <v>1188</v>
      </c>
      <c r="S122" s="47" t="s">
        <v>109</v>
      </c>
      <c r="T122" s="47">
        <v>1</v>
      </c>
      <c r="U122" s="47">
        <v>0</v>
      </c>
      <c r="V122" s="47" t="s">
        <v>66</v>
      </c>
      <c r="W122" s="47" t="s">
        <v>67</v>
      </c>
      <c r="X122" s="47" t="s">
        <v>68</v>
      </c>
      <c r="Y122" s="47" t="s">
        <v>137</v>
      </c>
      <c r="Z122" s="47"/>
      <c r="AA122" s="47"/>
      <c r="AB122" s="47" t="s">
        <v>1189</v>
      </c>
      <c r="AC122" s="47" t="s">
        <v>73</v>
      </c>
      <c r="AD122" s="47" t="s">
        <v>74</v>
      </c>
      <c r="AE122" s="49">
        <v>40898</v>
      </c>
      <c r="AF122" s="47" t="s">
        <v>123</v>
      </c>
      <c r="AG122" s="47"/>
      <c r="AH122" s="47" t="s">
        <v>124</v>
      </c>
      <c r="AI122" s="47" t="s">
        <v>182</v>
      </c>
      <c r="AJ122" s="47" t="s">
        <v>186</v>
      </c>
      <c r="AK122" s="47" t="s">
        <v>59</v>
      </c>
      <c r="AL122" s="47" t="s">
        <v>164</v>
      </c>
      <c r="AM122" s="47" t="s">
        <v>99</v>
      </c>
      <c r="AN122" s="47" t="s">
        <v>83</v>
      </c>
      <c r="AO122" s="47" t="s">
        <v>1190</v>
      </c>
      <c r="AP122" s="47" t="s">
        <v>342</v>
      </c>
      <c r="AQ122" s="47" t="s">
        <v>81</v>
      </c>
      <c r="AR122" s="47"/>
      <c r="AS122" s="47" t="s">
        <v>173</v>
      </c>
      <c r="AT122" s="47" t="s">
        <v>182</v>
      </c>
      <c r="AU122" s="47" t="s">
        <v>83</v>
      </c>
      <c r="AV122" s="47" t="s">
        <v>425</v>
      </c>
      <c r="AW122" s="47" t="s">
        <v>1191</v>
      </c>
      <c r="AX122" s="47" t="s">
        <v>604</v>
      </c>
      <c r="AY122" s="49">
        <v>37418</v>
      </c>
      <c r="AZ122" s="47" t="s">
        <v>80</v>
      </c>
      <c r="BA122" s="47" t="s">
        <v>1192</v>
      </c>
      <c r="BB122" s="47" t="s">
        <v>2358</v>
      </c>
      <c r="BC122" s="47" t="s">
        <v>2542</v>
      </c>
      <c r="BD122" s="47">
        <v>523878846</v>
      </c>
      <c r="BE122" s="50">
        <v>4383</v>
      </c>
      <c r="BF122" s="53">
        <v>1243000</v>
      </c>
    </row>
    <row r="123" spans="1:58" s="51" customFormat="1" ht="23.4" hidden="1" x14ac:dyDescent="0.25">
      <c r="A123" s="46">
        <v>122</v>
      </c>
      <c r="B123" s="47">
        <v>5383</v>
      </c>
      <c r="C123" s="47">
        <v>1285417</v>
      </c>
      <c r="D123" s="47" t="s">
        <v>271</v>
      </c>
      <c r="E123" s="47" t="s">
        <v>86</v>
      </c>
      <c r="F123" s="47" t="s">
        <v>598</v>
      </c>
      <c r="G123" s="47" t="str">
        <f>CONCATENATE(TRIM(الجدول2[[#This Row],[الاسم الأول]])," ",TRIM(الجدول2[[#This Row],[اسم الأب]])," ",TRIM(الجدول2[[#This Row],[الكنية]]))</f>
        <v>عبدالله احمد داود</v>
      </c>
      <c r="H123" s="47" t="s">
        <v>1193</v>
      </c>
      <c r="I123" s="48" t="s">
        <v>1194</v>
      </c>
      <c r="J123" s="47" t="s">
        <v>58</v>
      </c>
      <c r="K123" s="47" t="s">
        <v>59</v>
      </c>
      <c r="L123" s="47" t="s">
        <v>164</v>
      </c>
      <c r="M123" s="47" t="s">
        <v>165</v>
      </c>
      <c r="N123" s="47" t="s">
        <v>164</v>
      </c>
      <c r="O123" s="49">
        <v>31686</v>
      </c>
      <c r="P123" s="47" t="s">
        <v>1195</v>
      </c>
      <c r="Q123" s="47" t="s">
        <v>63</v>
      </c>
      <c r="R123" s="48" t="s">
        <v>1196</v>
      </c>
      <c r="S123" s="47" t="s">
        <v>65</v>
      </c>
      <c r="T123" s="47"/>
      <c r="U123" s="47"/>
      <c r="V123" s="47" t="s">
        <v>66</v>
      </c>
      <c r="W123" s="47" t="s">
        <v>67</v>
      </c>
      <c r="X123" s="47" t="s">
        <v>68</v>
      </c>
      <c r="Y123" s="47" t="s">
        <v>501</v>
      </c>
      <c r="Z123" s="47" t="s">
        <v>685</v>
      </c>
      <c r="AA123" s="47"/>
      <c r="AB123" s="47" t="s">
        <v>1197</v>
      </c>
      <c r="AC123" s="47" t="s">
        <v>73</v>
      </c>
      <c r="AD123" s="47" t="s">
        <v>74</v>
      </c>
      <c r="AE123" s="49">
        <v>40118</v>
      </c>
      <c r="AF123" s="47" t="s">
        <v>123</v>
      </c>
      <c r="AG123" s="47"/>
      <c r="AH123" s="47" t="s">
        <v>2277</v>
      </c>
      <c r="AI123" s="47" t="s">
        <v>327</v>
      </c>
      <c r="AJ123" s="47" t="s">
        <v>686</v>
      </c>
      <c r="AK123" s="47" t="s">
        <v>59</v>
      </c>
      <c r="AL123" s="47" t="s">
        <v>164</v>
      </c>
      <c r="AM123" s="47" t="s">
        <v>99</v>
      </c>
      <c r="AN123" s="47" t="s">
        <v>80</v>
      </c>
      <c r="AO123" s="47"/>
      <c r="AP123" s="47"/>
      <c r="AQ123" s="47" t="s">
        <v>81</v>
      </c>
      <c r="AR123" s="47"/>
      <c r="AS123" s="47" t="s">
        <v>82</v>
      </c>
      <c r="AT123" s="47" t="s">
        <v>327</v>
      </c>
      <c r="AU123" s="47" t="s">
        <v>83</v>
      </c>
      <c r="AV123" s="47" t="s">
        <v>61</v>
      </c>
      <c r="AW123" s="47" t="s">
        <v>686</v>
      </c>
      <c r="AX123" s="47" t="s">
        <v>1198</v>
      </c>
      <c r="AY123" s="49">
        <v>45862</v>
      </c>
      <c r="AZ123" s="47" t="s">
        <v>83</v>
      </c>
      <c r="BA123" s="47"/>
      <c r="BB123" s="47" t="s">
        <v>2359</v>
      </c>
      <c r="BC123" s="47" t="s">
        <v>2542</v>
      </c>
      <c r="BD123" s="47">
        <v>523984944</v>
      </c>
      <c r="BE123" s="50">
        <v>5082</v>
      </c>
      <c r="BF123" s="53">
        <v>1399086</v>
      </c>
    </row>
    <row r="124" spans="1:58" s="51" customFormat="1" ht="23.4" hidden="1" x14ac:dyDescent="0.25">
      <c r="A124" s="46">
        <v>123</v>
      </c>
      <c r="B124" s="47">
        <v>5431</v>
      </c>
      <c r="C124" s="47">
        <v>1639559</v>
      </c>
      <c r="D124" s="47" t="s">
        <v>1199</v>
      </c>
      <c r="E124" s="47" t="s">
        <v>1200</v>
      </c>
      <c r="F124" s="47" t="s">
        <v>53</v>
      </c>
      <c r="G124" s="47" t="str">
        <f>CONCATENATE(TRIM(الجدول2[[#This Row],[الاسم الأول]])," ",TRIM(الجدول2[[#This Row],[اسم الأب]])," ",TRIM(الجدول2[[#This Row],[الكنية]]))</f>
        <v>عبدالهادي حمزه ابراهيم</v>
      </c>
      <c r="H124" s="47" t="s">
        <v>427</v>
      </c>
      <c r="I124" s="48" t="s">
        <v>1201</v>
      </c>
      <c r="J124" s="47" t="s">
        <v>58</v>
      </c>
      <c r="K124" s="47" t="s">
        <v>59</v>
      </c>
      <c r="L124" s="47" t="s">
        <v>164</v>
      </c>
      <c r="M124" s="47" t="s">
        <v>165</v>
      </c>
      <c r="N124" s="47" t="s">
        <v>406</v>
      </c>
      <c r="O124" s="49">
        <v>30999</v>
      </c>
      <c r="P124" s="47" t="s">
        <v>406</v>
      </c>
      <c r="Q124" s="47" t="s">
        <v>63</v>
      </c>
      <c r="R124" s="48" t="s">
        <v>1202</v>
      </c>
      <c r="S124" s="47" t="s">
        <v>65</v>
      </c>
      <c r="T124" s="47"/>
      <c r="U124" s="47"/>
      <c r="V124" s="47" t="s">
        <v>66</v>
      </c>
      <c r="W124" s="47" t="s">
        <v>67</v>
      </c>
      <c r="X124" s="47" t="s">
        <v>68</v>
      </c>
      <c r="Y124" s="47" t="s">
        <v>152</v>
      </c>
      <c r="Z124" s="47" t="s">
        <v>153</v>
      </c>
      <c r="AA124" s="47"/>
      <c r="AB124" s="47" t="s">
        <v>1203</v>
      </c>
      <c r="AC124" s="47" t="s">
        <v>155</v>
      </c>
      <c r="AD124" s="47" t="s">
        <v>74</v>
      </c>
      <c r="AE124" s="49">
        <v>45047</v>
      </c>
      <c r="AF124" s="47" t="s">
        <v>156</v>
      </c>
      <c r="AG124" s="47"/>
      <c r="AH124" s="47" t="s">
        <v>157</v>
      </c>
      <c r="AI124" s="47" t="s">
        <v>250</v>
      </c>
      <c r="AJ124" s="47"/>
      <c r="AK124" s="47" t="s">
        <v>59</v>
      </c>
      <c r="AL124" s="47" t="s">
        <v>164</v>
      </c>
      <c r="AM124" s="47" t="s">
        <v>99</v>
      </c>
      <c r="AN124" s="47" t="s">
        <v>80</v>
      </c>
      <c r="AO124" s="47"/>
      <c r="AP124" s="47"/>
      <c r="AQ124" s="47" t="s">
        <v>81</v>
      </c>
      <c r="AR124" s="47"/>
      <c r="AS124" s="47" t="s">
        <v>82</v>
      </c>
      <c r="AT124" s="47" t="s">
        <v>250</v>
      </c>
      <c r="AU124" s="47"/>
      <c r="AV124" s="47"/>
      <c r="AW124" s="47"/>
      <c r="AX124" s="47"/>
      <c r="AY124" s="49"/>
      <c r="AZ124" s="47" t="s">
        <v>80</v>
      </c>
      <c r="BA124" s="47"/>
      <c r="BB124" s="47" t="s">
        <v>2358</v>
      </c>
      <c r="BC124" s="47" t="s">
        <v>2542</v>
      </c>
      <c r="BD124" s="47">
        <v>523249166</v>
      </c>
      <c r="BE124" s="50">
        <v>3456</v>
      </c>
      <c r="BF124" s="53">
        <v>918870</v>
      </c>
    </row>
    <row r="125" spans="1:58" s="51" customFormat="1" ht="23.4" hidden="1" x14ac:dyDescent="0.25">
      <c r="A125" s="46">
        <v>124</v>
      </c>
      <c r="B125" s="47">
        <v>5469</v>
      </c>
      <c r="C125" s="47"/>
      <c r="D125" s="47" t="s">
        <v>1204</v>
      </c>
      <c r="E125" s="47" t="s">
        <v>1205</v>
      </c>
      <c r="F125" s="47" t="s">
        <v>131</v>
      </c>
      <c r="G125" s="47" t="str">
        <f>CONCATENATE(TRIM(الجدول2[[#This Row],[الاسم الأول]])," ",TRIM(الجدول2[[#This Row],[اسم الأب]])," ",TRIM(الجدول2[[#This Row],[الكنية]]))</f>
        <v>عبير حافظ علي</v>
      </c>
      <c r="H125" s="47" t="s">
        <v>1206</v>
      </c>
      <c r="I125" s="48" t="s">
        <v>1207</v>
      </c>
      <c r="J125" s="47" t="s">
        <v>58</v>
      </c>
      <c r="K125" s="47" t="s">
        <v>59</v>
      </c>
      <c r="L125" s="47" t="s">
        <v>59</v>
      </c>
      <c r="M125" s="47" t="s">
        <v>544</v>
      </c>
      <c r="N125" s="47" t="s">
        <v>544</v>
      </c>
      <c r="O125" s="49">
        <v>28126</v>
      </c>
      <c r="P125" s="47" t="s">
        <v>1208</v>
      </c>
      <c r="Q125" s="47" t="s">
        <v>179</v>
      </c>
      <c r="R125" s="48" t="s">
        <v>1209</v>
      </c>
      <c r="S125" s="47" t="s">
        <v>109</v>
      </c>
      <c r="T125" s="47"/>
      <c r="U125" s="47">
        <v>2</v>
      </c>
      <c r="V125" s="47" t="s">
        <v>66</v>
      </c>
      <c r="W125" s="47" t="s">
        <v>67</v>
      </c>
      <c r="X125" s="47" t="s">
        <v>68</v>
      </c>
      <c r="Y125" s="47" t="s">
        <v>137</v>
      </c>
      <c r="Z125" s="47"/>
      <c r="AA125" s="47"/>
      <c r="AB125" s="47" t="s">
        <v>1210</v>
      </c>
      <c r="AC125" s="47" t="s">
        <v>155</v>
      </c>
      <c r="AD125" s="47" t="s">
        <v>74</v>
      </c>
      <c r="AE125" s="49">
        <v>44168</v>
      </c>
      <c r="AF125" s="47" t="s">
        <v>123</v>
      </c>
      <c r="AG125" s="47"/>
      <c r="AH125" s="47" t="s">
        <v>157</v>
      </c>
      <c r="AI125" s="47" t="s">
        <v>143</v>
      </c>
      <c r="AJ125" s="47"/>
      <c r="AK125" s="47" t="s">
        <v>59</v>
      </c>
      <c r="AL125" s="47" t="s">
        <v>59</v>
      </c>
      <c r="AM125" s="47" t="s">
        <v>99</v>
      </c>
      <c r="AN125" s="47" t="s">
        <v>80</v>
      </c>
      <c r="AO125" s="47"/>
      <c r="AP125" s="47"/>
      <c r="AQ125" s="47" t="s">
        <v>81</v>
      </c>
      <c r="AR125" s="47"/>
      <c r="AS125" s="47" t="s">
        <v>82</v>
      </c>
      <c r="AT125" s="47" t="s">
        <v>143</v>
      </c>
      <c r="AU125" s="47" t="s">
        <v>80</v>
      </c>
      <c r="AV125" s="47"/>
      <c r="AW125" s="47"/>
      <c r="AX125" s="47"/>
      <c r="AY125" s="49">
        <v>33798</v>
      </c>
      <c r="AZ125" s="47" t="s">
        <v>80</v>
      </c>
      <c r="BA125" s="47" t="s">
        <v>1211</v>
      </c>
      <c r="BB125" s="47" t="s">
        <v>2358</v>
      </c>
      <c r="BC125" s="47" t="s">
        <v>2542</v>
      </c>
      <c r="BD125" s="47">
        <v>526606149</v>
      </c>
      <c r="BE125" s="50">
        <v>13999</v>
      </c>
      <c r="BF125" s="53">
        <v>994128</v>
      </c>
    </row>
    <row r="126" spans="1:58" s="51" customFormat="1" ht="23.4" hidden="1" x14ac:dyDescent="0.25">
      <c r="A126" s="46">
        <v>125</v>
      </c>
      <c r="B126" s="47">
        <v>5490</v>
      </c>
      <c r="C126" s="47"/>
      <c r="D126" s="47" t="s">
        <v>1204</v>
      </c>
      <c r="E126" s="47" t="s">
        <v>115</v>
      </c>
      <c r="F126" s="47" t="s">
        <v>131</v>
      </c>
      <c r="G126" s="47" t="str">
        <f>CONCATENATE(TRIM(الجدول2[[#This Row],[الاسم الأول]])," ",TRIM(الجدول2[[#This Row],[اسم الأب]])," ",TRIM(الجدول2[[#This Row],[الكنية]]))</f>
        <v>عبير محمد علي</v>
      </c>
      <c r="H126" s="47" t="s">
        <v>1212</v>
      </c>
      <c r="I126" s="48" t="s">
        <v>1213</v>
      </c>
      <c r="J126" s="47" t="s">
        <v>58</v>
      </c>
      <c r="K126" s="47" t="s">
        <v>59</v>
      </c>
      <c r="L126" s="47" t="s">
        <v>59</v>
      </c>
      <c r="M126" s="47" t="s">
        <v>60</v>
      </c>
      <c r="N126" s="47" t="s">
        <v>1214</v>
      </c>
      <c r="O126" s="49">
        <v>34648</v>
      </c>
      <c r="P126" s="47" t="s">
        <v>1215</v>
      </c>
      <c r="Q126" s="47" t="s">
        <v>179</v>
      </c>
      <c r="R126" s="48" t="s">
        <v>1216</v>
      </c>
      <c r="S126" s="47" t="s">
        <v>1077</v>
      </c>
      <c r="T126" s="47"/>
      <c r="U126" s="47">
        <v>2</v>
      </c>
      <c r="V126" s="47" t="s">
        <v>66</v>
      </c>
      <c r="W126" s="47" t="s">
        <v>67</v>
      </c>
      <c r="X126" s="47" t="s">
        <v>68</v>
      </c>
      <c r="Y126" s="47" t="s">
        <v>94</v>
      </c>
      <c r="Z126" s="47" t="s">
        <v>554</v>
      </c>
      <c r="AA126" s="47"/>
      <c r="AB126" s="47" t="s">
        <v>947</v>
      </c>
      <c r="AC126" s="47" t="s">
        <v>155</v>
      </c>
      <c r="AD126" s="47" t="s">
        <v>74</v>
      </c>
      <c r="AE126" s="49">
        <v>43905</v>
      </c>
      <c r="AF126" s="47" t="s">
        <v>123</v>
      </c>
      <c r="AG126" s="47"/>
      <c r="AH126" s="47" t="s">
        <v>157</v>
      </c>
      <c r="AI126" s="47" t="s">
        <v>143</v>
      </c>
      <c r="AJ126" s="47"/>
      <c r="AK126" s="47" t="s">
        <v>59</v>
      </c>
      <c r="AL126" s="47" t="s">
        <v>59</v>
      </c>
      <c r="AM126" s="47" t="s">
        <v>99</v>
      </c>
      <c r="AN126" s="47" t="s">
        <v>80</v>
      </c>
      <c r="AO126" s="47"/>
      <c r="AP126" s="47"/>
      <c r="AQ126" s="47" t="s">
        <v>81</v>
      </c>
      <c r="AR126" s="47"/>
      <c r="AS126" s="47" t="s">
        <v>82</v>
      </c>
      <c r="AT126" s="47" t="s">
        <v>143</v>
      </c>
      <c r="AU126" s="47" t="s">
        <v>83</v>
      </c>
      <c r="AV126" s="47"/>
      <c r="AW126" s="47"/>
      <c r="AX126" s="47"/>
      <c r="AY126" s="49">
        <v>33077</v>
      </c>
      <c r="AZ126" s="47" t="s">
        <v>80</v>
      </c>
      <c r="BA126" s="47"/>
      <c r="BB126" s="47" t="s">
        <v>2359</v>
      </c>
      <c r="BC126" s="47" t="s">
        <v>2542</v>
      </c>
      <c r="BD126" s="47">
        <v>523043139</v>
      </c>
      <c r="BE126" s="50">
        <v>1735</v>
      </c>
      <c r="BF126" s="53">
        <v>1001181</v>
      </c>
    </row>
    <row r="127" spans="1:58" s="51" customFormat="1" ht="23.4" hidden="1" x14ac:dyDescent="0.25">
      <c r="A127" s="46">
        <v>126</v>
      </c>
      <c r="B127" s="47">
        <v>5492</v>
      </c>
      <c r="C127" s="47"/>
      <c r="D127" s="47" t="s">
        <v>1204</v>
      </c>
      <c r="E127" s="47" t="s">
        <v>228</v>
      </c>
      <c r="F127" s="47" t="s">
        <v>411</v>
      </c>
      <c r="G127" s="47" t="str">
        <f>CONCATENATE(TRIM(الجدول2[[#This Row],[الاسم الأول]])," ",TRIM(الجدول2[[#This Row],[اسم الأب]])," ",TRIM(الجدول2[[#This Row],[الكنية]]))</f>
        <v>عبير محمود سليمان</v>
      </c>
      <c r="H127" s="47" t="s">
        <v>1217</v>
      </c>
      <c r="I127" s="48" t="s">
        <v>1218</v>
      </c>
      <c r="J127" s="47" t="s">
        <v>58</v>
      </c>
      <c r="K127" s="47" t="s">
        <v>59</v>
      </c>
      <c r="L127" s="47" t="s">
        <v>90</v>
      </c>
      <c r="M127" s="47" t="s">
        <v>298</v>
      </c>
      <c r="N127" s="47" t="s">
        <v>59</v>
      </c>
      <c r="O127" s="49">
        <v>34150</v>
      </c>
      <c r="P127" s="47" t="s">
        <v>1219</v>
      </c>
      <c r="Q127" s="47" t="s">
        <v>179</v>
      </c>
      <c r="R127" s="48" t="s">
        <v>1220</v>
      </c>
      <c r="S127" s="47" t="s">
        <v>109</v>
      </c>
      <c r="T127" s="47"/>
      <c r="U127" s="47">
        <v>3</v>
      </c>
      <c r="V127" s="47" t="s">
        <v>66</v>
      </c>
      <c r="W127" s="47" t="s">
        <v>67</v>
      </c>
      <c r="X127" s="47" t="s">
        <v>68</v>
      </c>
      <c r="Y127" s="47" t="s">
        <v>137</v>
      </c>
      <c r="Z127" s="47"/>
      <c r="AA127" s="47"/>
      <c r="AB127" s="47" t="s">
        <v>642</v>
      </c>
      <c r="AC127" s="47" t="s">
        <v>155</v>
      </c>
      <c r="AD127" s="47" t="s">
        <v>74</v>
      </c>
      <c r="AE127" s="49">
        <v>43905</v>
      </c>
      <c r="AF127" s="47" t="s">
        <v>123</v>
      </c>
      <c r="AG127" s="47"/>
      <c r="AH127" s="47" t="s">
        <v>140</v>
      </c>
      <c r="AI127" s="47" t="s">
        <v>143</v>
      </c>
      <c r="AJ127" s="47"/>
      <c r="AK127" s="47" t="s">
        <v>59</v>
      </c>
      <c r="AL127" s="47" t="s">
        <v>90</v>
      </c>
      <c r="AM127" s="47" t="s">
        <v>79</v>
      </c>
      <c r="AN127" s="47" t="s">
        <v>83</v>
      </c>
      <c r="AO127" s="47" t="s">
        <v>1221</v>
      </c>
      <c r="AP127" s="47" t="s">
        <v>1222</v>
      </c>
      <c r="AQ127" s="47" t="s">
        <v>81</v>
      </c>
      <c r="AR127" s="47"/>
      <c r="AS127" s="47" t="s">
        <v>82</v>
      </c>
      <c r="AT127" s="47" t="s">
        <v>143</v>
      </c>
      <c r="AU127" s="47" t="s">
        <v>83</v>
      </c>
      <c r="AV127" s="47"/>
      <c r="AW127" s="47"/>
      <c r="AX127" s="47"/>
      <c r="AY127" s="49">
        <v>39315</v>
      </c>
      <c r="AZ127" s="47" t="s">
        <v>80</v>
      </c>
      <c r="BA127" s="47" t="s">
        <v>1223</v>
      </c>
      <c r="BB127" s="47" t="s">
        <v>2358</v>
      </c>
      <c r="BC127" s="47" t="s">
        <v>2542</v>
      </c>
      <c r="BD127" s="47">
        <v>527429922</v>
      </c>
      <c r="BE127" s="50">
        <v>19585</v>
      </c>
      <c r="BF127" s="53">
        <v>994128</v>
      </c>
    </row>
    <row r="128" spans="1:58" s="51" customFormat="1" ht="23.4" hidden="1" x14ac:dyDescent="0.25">
      <c r="A128" s="46">
        <v>127</v>
      </c>
      <c r="B128" s="47">
        <v>5562</v>
      </c>
      <c r="C128" s="47">
        <v>1208195</v>
      </c>
      <c r="D128" s="47" t="s">
        <v>1224</v>
      </c>
      <c r="E128" s="47" t="s">
        <v>428</v>
      </c>
      <c r="F128" s="47" t="s">
        <v>1225</v>
      </c>
      <c r="G128" s="47" t="str">
        <f>CONCATENATE(TRIM(الجدول2[[#This Row],[الاسم الأول]])," ",TRIM(الجدول2[[#This Row],[اسم الأب]])," ",TRIM(الجدول2[[#This Row],[الكنية]]))</f>
        <v>عدي بهجت زاهر</v>
      </c>
      <c r="H128" s="47" t="s">
        <v>1226</v>
      </c>
      <c r="I128" s="48" t="s">
        <v>1227</v>
      </c>
      <c r="J128" s="47" t="s">
        <v>58</v>
      </c>
      <c r="K128" s="47" t="s">
        <v>59</v>
      </c>
      <c r="L128" s="47" t="s">
        <v>141</v>
      </c>
      <c r="M128" s="47" t="s">
        <v>307</v>
      </c>
      <c r="N128" s="47" t="s">
        <v>307</v>
      </c>
      <c r="O128" s="49">
        <v>30210</v>
      </c>
      <c r="P128" s="47" t="s">
        <v>1228</v>
      </c>
      <c r="Q128" s="47" t="s">
        <v>63</v>
      </c>
      <c r="R128" s="48" t="s">
        <v>1229</v>
      </c>
      <c r="S128" s="47" t="s">
        <v>418</v>
      </c>
      <c r="T128" s="47"/>
      <c r="U128" s="47">
        <v>2</v>
      </c>
      <c r="V128" s="47" t="s">
        <v>66</v>
      </c>
      <c r="W128" s="47" t="s">
        <v>67</v>
      </c>
      <c r="X128" s="47" t="s">
        <v>68</v>
      </c>
      <c r="Y128" s="47" t="s">
        <v>69</v>
      </c>
      <c r="Z128" s="47"/>
      <c r="AA128" s="47"/>
      <c r="AB128" s="47" t="s">
        <v>1230</v>
      </c>
      <c r="AC128" s="47" t="s">
        <v>73</v>
      </c>
      <c r="AD128" s="47" t="s">
        <v>74</v>
      </c>
      <c r="AE128" s="49">
        <v>39246</v>
      </c>
      <c r="AF128" s="47" t="s">
        <v>75</v>
      </c>
      <c r="AG128" s="47"/>
      <c r="AH128" s="47" t="s">
        <v>2277</v>
      </c>
      <c r="AI128" s="47" t="s">
        <v>76</v>
      </c>
      <c r="AJ128" s="47" t="s">
        <v>77</v>
      </c>
      <c r="AK128" s="47" t="s">
        <v>59</v>
      </c>
      <c r="AL128" s="47" t="s">
        <v>59</v>
      </c>
      <c r="AM128" s="47" t="s">
        <v>99</v>
      </c>
      <c r="AN128" s="47" t="s">
        <v>80</v>
      </c>
      <c r="AO128" s="47"/>
      <c r="AP128" s="47"/>
      <c r="AQ128" s="47" t="s">
        <v>81</v>
      </c>
      <c r="AR128" s="47"/>
      <c r="AS128" s="47" t="s">
        <v>368</v>
      </c>
      <c r="AT128" s="47" t="s">
        <v>76</v>
      </c>
      <c r="AU128" s="47" t="s">
        <v>83</v>
      </c>
      <c r="AV128" s="47" t="s">
        <v>361</v>
      </c>
      <c r="AW128" s="47" t="s">
        <v>77</v>
      </c>
      <c r="AX128" s="47" t="s">
        <v>1231</v>
      </c>
      <c r="AY128" s="49">
        <v>38727</v>
      </c>
      <c r="AZ128" s="47" t="s">
        <v>80</v>
      </c>
      <c r="BA128" s="47"/>
      <c r="BB128" s="47" t="s">
        <v>2359</v>
      </c>
      <c r="BC128" s="47" t="s">
        <v>2542</v>
      </c>
      <c r="BD128" s="47">
        <v>524082228</v>
      </c>
      <c r="BE128" s="50">
        <v>5932</v>
      </c>
      <c r="BF128" s="53">
        <v>1409000</v>
      </c>
    </row>
    <row r="129" spans="1:58" s="51" customFormat="1" ht="24.6" hidden="1" customHeight="1" x14ac:dyDescent="0.25">
      <c r="A129" s="46">
        <v>128</v>
      </c>
      <c r="B129" s="47">
        <v>5653</v>
      </c>
      <c r="C129" s="47">
        <v>1632680</v>
      </c>
      <c r="D129" s="47" t="s">
        <v>1232</v>
      </c>
      <c r="E129" s="47" t="s">
        <v>131</v>
      </c>
      <c r="F129" s="47" t="s">
        <v>86</v>
      </c>
      <c r="G129" s="47" t="str">
        <f>CONCATENATE(TRIM(الجدول2[[#This Row],[الاسم الأول]])," ",TRIM(الجدول2[[#This Row],[اسم الأب]])," ",TRIM(الجدول2[[#This Row],[الكنية]]))</f>
        <v>عقيل علي احمد</v>
      </c>
      <c r="H129" s="47" t="s">
        <v>1233</v>
      </c>
      <c r="I129" s="48" t="s">
        <v>1234</v>
      </c>
      <c r="J129" s="47" t="s">
        <v>58</v>
      </c>
      <c r="K129" s="47" t="s">
        <v>59</v>
      </c>
      <c r="L129" s="47" t="s">
        <v>59</v>
      </c>
      <c r="M129" s="47" t="s">
        <v>60</v>
      </c>
      <c r="N129" s="47" t="s">
        <v>1235</v>
      </c>
      <c r="O129" s="49">
        <v>30519</v>
      </c>
      <c r="P129" s="47" t="s">
        <v>1236</v>
      </c>
      <c r="Q129" s="47" t="s">
        <v>63</v>
      </c>
      <c r="R129" s="48" t="s">
        <v>1237</v>
      </c>
      <c r="S129" s="47" t="s">
        <v>109</v>
      </c>
      <c r="T129" s="47">
        <v>1</v>
      </c>
      <c r="U129" s="47">
        <v>2</v>
      </c>
      <c r="V129" s="47" t="s">
        <v>66</v>
      </c>
      <c r="W129" s="47" t="s">
        <v>67</v>
      </c>
      <c r="X129" s="47" t="s">
        <v>68</v>
      </c>
      <c r="Y129" s="47" t="s">
        <v>1015</v>
      </c>
      <c r="Z129" s="47"/>
      <c r="AA129" s="47"/>
      <c r="AB129" s="47" t="s">
        <v>1016</v>
      </c>
      <c r="AC129" s="47" t="s">
        <v>73</v>
      </c>
      <c r="AD129" s="47" t="s">
        <v>74</v>
      </c>
      <c r="AE129" s="49">
        <v>41294</v>
      </c>
      <c r="AF129" s="47" t="s">
        <v>156</v>
      </c>
      <c r="AG129" s="47"/>
      <c r="AH129" s="47" t="s">
        <v>1007</v>
      </c>
      <c r="AI129" s="47" t="s">
        <v>143</v>
      </c>
      <c r="AJ129" s="47"/>
      <c r="AK129" s="47" t="s">
        <v>59</v>
      </c>
      <c r="AL129" s="47" t="s">
        <v>105</v>
      </c>
      <c r="AM129" s="47" t="s">
        <v>99</v>
      </c>
      <c r="AN129" s="47" t="s">
        <v>83</v>
      </c>
      <c r="AO129" s="47" t="s">
        <v>1238</v>
      </c>
      <c r="AP129" s="47" t="s">
        <v>1239</v>
      </c>
      <c r="AQ129" s="47" t="s">
        <v>81</v>
      </c>
      <c r="AR129" s="47"/>
      <c r="AS129" s="47" t="s">
        <v>82</v>
      </c>
      <c r="AT129" s="47" t="s">
        <v>143</v>
      </c>
      <c r="AU129" s="47" t="s">
        <v>83</v>
      </c>
      <c r="AV129" s="47"/>
      <c r="AW129" s="47"/>
      <c r="AX129" s="47"/>
      <c r="AY129" s="49">
        <v>35641</v>
      </c>
      <c r="AZ129" s="47" t="s">
        <v>80</v>
      </c>
      <c r="BA129" s="47"/>
      <c r="BB129" s="47" t="s">
        <v>2359</v>
      </c>
      <c r="BC129" s="47" t="s">
        <v>2542</v>
      </c>
      <c r="BD129" s="47">
        <v>526122316</v>
      </c>
      <c r="BE129" s="50">
        <v>11318</v>
      </c>
      <c r="BF129" s="53">
        <v>1185000</v>
      </c>
    </row>
    <row r="130" spans="1:58" s="51" customFormat="1" ht="23.4" hidden="1" x14ac:dyDescent="0.25">
      <c r="A130" s="46">
        <v>129</v>
      </c>
      <c r="B130" s="47">
        <v>5659</v>
      </c>
      <c r="C130" s="47"/>
      <c r="D130" s="47" t="s">
        <v>1240</v>
      </c>
      <c r="E130" s="47" t="s">
        <v>411</v>
      </c>
      <c r="F130" s="47" t="s">
        <v>1241</v>
      </c>
      <c r="G130" s="47" t="str">
        <f>CONCATENATE(TRIM(الجدول2[[#This Row],[الاسم الأول]])," ",TRIM(الجدول2[[#This Row],[اسم الأب]])," ",TRIM(الجدول2[[#This Row],[الكنية]]))</f>
        <v>علا سليمان حسون</v>
      </c>
      <c r="H130" s="47" t="s">
        <v>1242</v>
      </c>
      <c r="I130" s="48" t="s">
        <v>1243</v>
      </c>
      <c r="J130" s="47" t="s">
        <v>58</v>
      </c>
      <c r="K130" s="47" t="s">
        <v>59</v>
      </c>
      <c r="L130" s="47" t="s">
        <v>59</v>
      </c>
      <c r="M130" s="47" t="s">
        <v>60</v>
      </c>
      <c r="N130" s="47" t="s">
        <v>59</v>
      </c>
      <c r="O130" s="49">
        <v>32143</v>
      </c>
      <c r="P130" s="47" t="s">
        <v>1244</v>
      </c>
      <c r="Q130" s="47" t="s">
        <v>179</v>
      </c>
      <c r="R130" s="48" t="s">
        <v>1245</v>
      </c>
      <c r="S130" s="47" t="s">
        <v>109</v>
      </c>
      <c r="T130" s="47"/>
      <c r="U130" s="47">
        <v>2</v>
      </c>
      <c r="V130" s="47" t="s">
        <v>66</v>
      </c>
      <c r="W130" s="47" t="s">
        <v>67</v>
      </c>
      <c r="X130" s="47" t="s">
        <v>68</v>
      </c>
      <c r="Y130" s="47" t="s">
        <v>137</v>
      </c>
      <c r="Z130" s="47"/>
      <c r="AA130" s="47"/>
      <c r="AB130" s="47" t="s">
        <v>947</v>
      </c>
      <c r="AC130" s="47" t="s">
        <v>155</v>
      </c>
      <c r="AD130" s="47" t="s">
        <v>74</v>
      </c>
      <c r="AE130" s="49">
        <v>40671</v>
      </c>
      <c r="AF130" s="47" t="s">
        <v>123</v>
      </c>
      <c r="AG130" s="47"/>
      <c r="AH130" s="47" t="s">
        <v>157</v>
      </c>
      <c r="AI130" s="47" t="s">
        <v>125</v>
      </c>
      <c r="AJ130" s="47"/>
      <c r="AK130" s="47" t="s">
        <v>59</v>
      </c>
      <c r="AL130" s="47" t="s">
        <v>59</v>
      </c>
      <c r="AM130" s="47" t="s">
        <v>99</v>
      </c>
      <c r="AN130" s="47" t="s">
        <v>80</v>
      </c>
      <c r="AO130" s="47"/>
      <c r="AP130" s="47"/>
      <c r="AQ130" s="47" t="s">
        <v>81</v>
      </c>
      <c r="AR130" s="47"/>
      <c r="AS130" s="47" t="s">
        <v>173</v>
      </c>
      <c r="AT130" s="47" t="s">
        <v>128</v>
      </c>
      <c r="AU130" s="47" t="s">
        <v>83</v>
      </c>
      <c r="AV130" s="47"/>
      <c r="AW130" s="47"/>
      <c r="AX130" s="47" t="s">
        <v>129</v>
      </c>
      <c r="AY130" s="49">
        <v>38928</v>
      </c>
      <c r="AZ130" s="47" t="s">
        <v>80</v>
      </c>
      <c r="BA130" s="47" t="s">
        <v>1246</v>
      </c>
      <c r="BB130" s="47" t="s">
        <v>2358</v>
      </c>
      <c r="BC130" s="47" t="s">
        <v>2542</v>
      </c>
      <c r="BD130" s="47">
        <v>528055606</v>
      </c>
      <c r="BE130" s="50">
        <v>21799</v>
      </c>
      <c r="BF130" s="53">
        <v>1185000</v>
      </c>
    </row>
    <row r="131" spans="1:58" s="51" customFormat="1" ht="23.4" hidden="1" x14ac:dyDescent="0.25">
      <c r="A131" s="46">
        <v>130</v>
      </c>
      <c r="B131" s="47">
        <v>5660</v>
      </c>
      <c r="C131" s="55">
        <v>1634837</v>
      </c>
      <c r="D131" s="47" t="s">
        <v>1240</v>
      </c>
      <c r="E131" s="47" t="s">
        <v>694</v>
      </c>
      <c r="F131" s="47" t="s">
        <v>322</v>
      </c>
      <c r="G131" s="47" t="str">
        <f>CONCATENATE(TRIM(الجدول2[[#This Row],[الاسم الأول]])," ",TRIM(الجدول2[[#This Row],[اسم الأب]])," ",TRIM(الجدول2[[#This Row],[الكنية]]))</f>
        <v>علا عبدالرحمن عباس</v>
      </c>
      <c r="H131" s="47" t="s">
        <v>1247</v>
      </c>
      <c r="I131" s="48" t="s">
        <v>1248</v>
      </c>
      <c r="J131" s="47" t="s">
        <v>58</v>
      </c>
      <c r="K131" s="47" t="s">
        <v>59</v>
      </c>
      <c r="L131" s="47" t="s">
        <v>59</v>
      </c>
      <c r="M131" s="47" t="s">
        <v>60</v>
      </c>
      <c r="N131" s="47" t="s">
        <v>59</v>
      </c>
      <c r="O131" s="49">
        <v>33312</v>
      </c>
      <c r="P131" s="47" t="s">
        <v>1249</v>
      </c>
      <c r="Q131" s="47" t="s">
        <v>179</v>
      </c>
      <c r="R131" s="48" t="s">
        <v>1250</v>
      </c>
      <c r="S131" s="47" t="s">
        <v>109</v>
      </c>
      <c r="T131" s="47"/>
      <c r="U131" s="47">
        <v>0</v>
      </c>
      <c r="V131" s="47" t="s">
        <v>66</v>
      </c>
      <c r="W131" s="47" t="s">
        <v>67</v>
      </c>
      <c r="X131" s="47" t="s">
        <v>68</v>
      </c>
      <c r="Y131" s="47" t="s">
        <v>169</v>
      </c>
      <c r="Z131" s="47" t="s">
        <v>288</v>
      </c>
      <c r="AA131" s="47" t="s">
        <v>1251</v>
      </c>
      <c r="AB131" s="47" t="s">
        <v>491</v>
      </c>
      <c r="AC131" s="47" t="s">
        <v>73</v>
      </c>
      <c r="AD131" s="47" t="s">
        <v>74</v>
      </c>
      <c r="AE131" s="49">
        <v>41294</v>
      </c>
      <c r="AF131" s="47" t="s">
        <v>156</v>
      </c>
      <c r="AG131" s="47"/>
      <c r="AH131" s="47" t="s">
        <v>124</v>
      </c>
      <c r="AI131" s="47" t="s">
        <v>182</v>
      </c>
      <c r="AJ131" s="47" t="s">
        <v>595</v>
      </c>
      <c r="AK131" s="47" t="s">
        <v>59</v>
      </c>
      <c r="AL131" s="47" t="s">
        <v>59</v>
      </c>
      <c r="AM131" s="47" t="s">
        <v>79</v>
      </c>
      <c r="AN131" s="47" t="s">
        <v>80</v>
      </c>
      <c r="AO131" s="47"/>
      <c r="AP131" s="47"/>
      <c r="AQ131" s="47" t="s">
        <v>81</v>
      </c>
      <c r="AR131" s="47"/>
      <c r="AS131" s="47" t="s">
        <v>173</v>
      </c>
      <c r="AT131" s="47" t="s">
        <v>182</v>
      </c>
      <c r="AU131" s="47" t="s">
        <v>83</v>
      </c>
      <c r="AV131" s="47" t="s">
        <v>1252</v>
      </c>
      <c r="AW131" s="47" t="s">
        <v>869</v>
      </c>
      <c r="AX131" s="47" t="s">
        <v>595</v>
      </c>
      <c r="AY131" s="49">
        <v>40720</v>
      </c>
      <c r="AZ131" s="47" t="s">
        <v>80</v>
      </c>
      <c r="BA131" s="47"/>
      <c r="BB131" s="47" t="s">
        <v>2359</v>
      </c>
      <c r="BC131" s="47" t="s">
        <v>2542</v>
      </c>
      <c r="BD131" s="47">
        <v>523172182</v>
      </c>
      <c r="BE131" s="50">
        <v>2875</v>
      </c>
      <c r="BF131" s="53">
        <v>1243000</v>
      </c>
    </row>
    <row r="132" spans="1:58" s="51" customFormat="1" ht="23.4" hidden="1" x14ac:dyDescent="0.25">
      <c r="A132" s="46">
        <v>131</v>
      </c>
      <c r="B132" s="47">
        <v>5710</v>
      </c>
      <c r="C132" s="47">
        <v>1639592</v>
      </c>
      <c r="D132" s="47" t="s">
        <v>1253</v>
      </c>
      <c r="E132" s="47" t="s">
        <v>334</v>
      </c>
      <c r="F132" s="47" t="s">
        <v>980</v>
      </c>
      <c r="G132" s="47" t="str">
        <f>CONCATENATE(TRIM(الجدول2[[#This Row],[الاسم الأول]])," ",TRIM(الجدول2[[#This Row],[اسم الأب]])," ",TRIM(الجدول2[[#This Row],[الكنية]]))</f>
        <v>علاء سلمان خضور</v>
      </c>
      <c r="H132" s="47" t="s">
        <v>1254</v>
      </c>
      <c r="I132" s="48" t="s">
        <v>1255</v>
      </c>
      <c r="J132" s="47" t="s">
        <v>58</v>
      </c>
      <c r="K132" s="47" t="s">
        <v>59</v>
      </c>
      <c r="L132" s="47" t="s">
        <v>105</v>
      </c>
      <c r="M132" s="47" t="s">
        <v>106</v>
      </c>
      <c r="N132" s="47" t="s">
        <v>59</v>
      </c>
      <c r="O132" s="49">
        <v>34079</v>
      </c>
      <c r="P132" s="47" t="s">
        <v>1256</v>
      </c>
      <c r="Q132" s="47" t="s">
        <v>63</v>
      </c>
      <c r="R132" s="48" t="s">
        <v>1257</v>
      </c>
      <c r="S132" s="47" t="s">
        <v>109</v>
      </c>
      <c r="T132" s="47">
        <v>1</v>
      </c>
      <c r="U132" s="47">
        <v>2</v>
      </c>
      <c r="V132" s="47" t="s">
        <v>66</v>
      </c>
      <c r="W132" s="47" t="s">
        <v>67</v>
      </c>
      <c r="X132" s="47" t="s">
        <v>68</v>
      </c>
      <c r="Y132" s="47" t="s">
        <v>94</v>
      </c>
      <c r="Z132" s="47" t="s">
        <v>554</v>
      </c>
      <c r="AA132" s="47" t="s">
        <v>1258</v>
      </c>
      <c r="AB132" s="47" t="s">
        <v>249</v>
      </c>
      <c r="AC132" s="47" t="s">
        <v>155</v>
      </c>
      <c r="AD132" s="47" t="s">
        <v>74</v>
      </c>
      <c r="AE132" s="49">
        <v>45077</v>
      </c>
      <c r="AF132" s="47" t="s">
        <v>156</v>
      </c>
      <c r="AG132" s="47"/>
      <c r="AH132" s="47" t="s">
        <v>157</v>
      </c>
      <c r="AI132" s="47" t="s">
        <v>143</v>
      </c>
      <c r="AJ132" s="47"/>
      <c r="AK132" s="47" t="s">
        <v>59</v>
      </c>
      <c r="AL132" s="47" t="s">
        <v>90</v>
      </c>
      <c r="AM132" s="47" t="s">
        <v>79</v>
      </c>
      <c r="AN132" s="47" t="s">
        <v>83</v>
      </c>
      <c r="AO132" s="47" t="s">
        <v>1259</v>
      </c>
      <c r="AP132" s="47" t="s">
        <v>342</v>
      </c>
      <c r="AQ132" s="47" t="s">
        <v>81</v>
      </c>
      <c r="AR132" s="47"/>
      <c r="AS132" s="47" t="s">
        <v>82</v>
      </c>
      <c r="AT132" s="47" t="s">
        <v>143</v>
      </c>
      <c r="AU132" s="47" t="s">
        <v>83</v>
      </c>
      <c r="AV132" s="47"/>
      <c r="AW132" s="47"/>
      <c r="AX132" s="47"/>
      <c r="AY132" s="49">
        <v>38556</v>
      </c>
      <c r="AZ132" s="47" t="s">
        <v>80</v>
      </c>
      <c r="BA132" s="47"/>
      <c r="BB132" s="47" t="s">
        <v>2359</v>
      </c>
      <c r="BC132" s="47" t="s">
        <v>2542</v>
      </c>
      <c r="BD132" s="47">
        <v>523107348</v>
      </c>
      <c r="BE132" s="50">
        <v>2268</v>
      </c>
      <c r="BF132" s="53">
        <v>918870</v>
      </c>
    </row>
    <row r="133" spans="1:58" s="51" customFormat="1" ht="23.4" hidden="1" x14ac:dyDescent="0.25">
      <c r="A133" s="46">
        <v>132</v>
      </c>
      <c r="B133" s="47">
        <v>5718</v>
      </c>
      <c r="C133" s="47">
        <v>1632679</v>
      </c>
      <c r="D133" s="47" t="s">
        <v>1253</v>
      </c>
      <c r="E133" s="47" t="s">
        <v>160</v>
      </c>
      <c r="F133" s="47" t="s">
        <v>1260</v>
      </c>
      <c r="G133" s="47" t="str">
        <f>CONCATENATE(TRIM(الجدول2[[#This Row],[الاسم الأول]])," ",TRIM(الجدول2[[#This Row],[اسم الأب]])," ",TRIM(الجدول2[[#This Row],[الكنية]]))</f>
        <v>علاء صالح قموحي</v>
      </c>
      <c r="H133" s="47" t="s">
        <v>1261</v>
      </c>
      <c r="I133" s="48" t="s">
        <v>1262</v>
      </c>
      <c r="J133" s="47" t="s">
        <v>58</v>
      </c>
      <c r="K133" s="47" t="s">
        <v>59</v>
      </c>
      <c r="L133" s="47" t="s">
        <v>59</v>
      </c>
      <c r="M133" s="47" t="s">
        <v>60</v>
      </c>
      <c r="N133" s="47" t="s">
        <v>59</v>
      </c>
      <c r="O133" s="49">
        <v>32169</v>
      </c>
      <c r="P133" s="47" t="s">
        <v>1263</v>
      </c>
      <c r="Q133" s="47" t="s">
        <v>63</v>
      </c>
      <c r="R133" s="48" t="s">
        <v>1264</v>
      </c>
      <c r="S133" s="47" t="s">
        <v>109</v>
      </c>
      <c r="T133" s="47">
        <v>1</v>
      </c>
      <c r="U133" s="47">
        <v>2</v>
      </c>
      <c r="V133" s="47" t="s">
        <v>66</v>
      </c>
      <c r="W133" s="47" t="s">
        <v>67</v>
      </c>
      <c r="X133" s="47" t="s">
        <v>68</v>
      </c>
      <c r="Y133" s="47" t="s">
        <v>246</v>
      </c>
      <c r="Z133" s="47" t="s">
        <v>840</v>
      </c>
      <c r="AA133" s="47"/>
      <c r="AB133" s="47" t="s">
        <v>1265</v>
      </c>
      <c r="AC133" s="47" t="s">
        <v>73</v>
      </c>
      <c r="AD133" s="47" t="s">
        <v>74</v>
      </c>
      <c r="AE133" s="49">
        <v>41287</v>
      </c>
      <c r="AF133" s="47" t="s">
        <v>123</v>
      </c>
      <c r="AG133" s="47"/>
      <c r="AH133" s="47" t="s">
        <v>157</v>
      </c>
      <c r="AI133" s="47" t="s">
        <v>143</v>
      </c>
      <c r="AJ133" s="47"/>
      <c r="AK133" s="47" t="s">
        <v>59</v>
      </c>
      <c r="AL133" s="47" t="s">
        <v>59</v>
      </c>
      <c r="AM133" s="47" t="s">
        <v>99</v>
      </c>
      <c r="AN133" s="47" t="s">
        <v>80</v>
      </c>
      <c r="AO133" s="47"/>
      <c r="AP133" s="47"/>
      <c r="AQ133" s="47" t="s">
        <v>81</v>
      </c>
      <c r="AR133" s="47"/>
      <c r="AS133" s="47" t="s">
        <v>173</v>
      </c>
      <c r="AT133" s="47" t="s">
        <v>143</v>
      </c>
      <c r="AU133" s="47" t="s">
        <v>83</v>
      </c>
      <c r="AV133" s="47"/>
      <c r="AW133" s="47"/>
      <c r="AX133" s="47"/>
      <c r="AY133" s="49">
        <v>36735</v>
      </c>
      <c r="AZ133" s="47" t="s">
        <v>80</v>
      </c>
      <c r="BA133" s="47"/>
      <c r="BB133" s="47" t="s">
        <v>2359</v>
      </c>
      <c r="BC133" s="47" t="s">
        <v>2542</v>
      </c>
      <c r="BD133" s="47">
        <v>526578446</v>
      </c>
      <c r="BE133" s="50">
        <v>13640</v>
      </c>
      <c r="BF133" s="53">
        <v>1185000</v>
      </c>
    </row>
    <row r="134" spans="1:58" s="51" customFormat="1" ht="23.4" hidden="1" x14ac:dyDescent="0.25">
      <c r="A134" s="46">
        <v>133</v>
      </c>
      <c r="B134" s="47">
        <v>5763</v>
      </c>
      <c r="C134" s="47">
        <v>1639593</v>
      </c>
      <c r="D134" s="47" t="s">
        <v>1253</v>
      </c>
      <c r="E134" s="47" t="s">
        <v>1266</v>
      </c>
      <c r="F134" s="47" t="s">
        <v>322</v>
      </c>
      <c r="G134" s="47" t="str">
        <f>CONCATENATE(TRIM(الجدول2[[#This Row],[الاسم الأول]])," ",TRIM(الجدول2[[#This Row],[اسم الأب]])," ",TRIM(الجدول2[[#This Row],[الكنية]]))</f>
        <v>علاء نمير عباس</v>
      </c>
      <c r="H134" s="47" t="s">
        <v>1267</v>
      </c>
      <c r="I134" s="48" t="s">
        <v>1268</v>
      </c>
      <c r="J134" s="47" t="s">
        <v>58</v>
      </c>
      <c r="K134" s="47" t="s">
        <v>59</v>
      </c>
      <c r="L134" s="47" t="s">
        <v>141</v>
      </c>
      <c r="M134" s="47" t="s">
        <v>697</v>
      </c>
      <c r="N134" s="47" t="s">
        <v>1269</v>
      </c>
      <c r="O134" s="49">
        <v>31784</v>
      </c>
      <c r="P134" s="47" t="s">
        <v>1270</v>
      </c>
      <c r="Q134" s="47" t="s">
        <v>63</v>
      </c>
      <c r="R134" s="48" t="s">
        <v>1271</v>
      </c>
      <c r="S134" s="47" t="s">
        <v>109</v>
      </c>
      <c r="T134" s="47">
        <v>1</v>
      </c>
      <c r="U134" s="47">
        <v>2</v>
      </c>
      <c r="V134" s="47" t="s">
        <v>66</v>
      </c>
      <c r="W134" s="47" t="s">
        <v>67</v>
      </c>
      <c r="X134" s="47" t="s">
        <v>68</v>
      </c>
      <c r="Y134" s="47" t="s">
        <v>246</v>
      </c>
      <c r="Z134" s="47" t="s">
        <v>247</v>
      </c>
      <c r="AA134" s="47" t="s">
        <v>248</v>
      </c>
      <c r="AB134" s="47" t="s">
        <v>249</v>
      </c>
      <c r="AC134" s="47" t="s">
        <v>155</v>
      </c>
      <c r="AD134" s="47" t="s">
        <v>74</v>
      </c>
      <c r="AE134" s="49">
        <v>45078</v>
      </c>
      <c r="AF134" s="47" t="s">
        <v>156</v>
      </c>
      <c r="AG134" s="47"/>
      <c r="AH134" s="47" t="s">
        <v>157</v>
      </c>
      <c r="AI134" s="47" t="s">
        <v>250</v>
      </c>
      <c r="AJ134" s="47"/>
      <c r="AK134" s="47" t="s">
        <v>59</v>
      </c>
      <c r="AL134" s="47" t="s">
        <v>59</v>
      </c>
      <c r="AM134" s="47" t="s">
        <v>79</v>
      </c>
      <c r="AN134" s="47" t="s">
        <v>80</v>
      </c>
      <c r="AO134" s="47"/>
      <c r="AP134" s="47"/>
      <c r="AQ134" s="47" t="s">
        <v>81</v>
      </c>
      <c r="AR134" s="47"/>
      <c r="AS134" s="47" t="s">
        <v>173</v>
      </c>
      <c r="AT134" s="47" t="s">
        <v>250</v>
      </c>
      <c r="AU134" s="47"/>
      <c r="AV134" s="47"/>
      <c r="AW134" s="47"/>
      <c r="AX134" s="47"/>
      <c r="AY134" s="49"/>
      <c r="AZ134" s="47" t="s">
        <v>80</v>
      </c>
      <c r="BA134" s="47"/>
      <c r="BB134" s="47" t="s">
        <v>2359</v>
      </c>
      <c r="BC134" s="47" t="s">
        <v>2542</v>
      </c>
      <c r="BD134" s="47">
        <v>526465096</v>
      </c>
      <c r="BE134" s="50">
        <v>12304</v>
      </c>
      <c r="BF134" s="53">
        <v>918870</v>
      </c>
    </row>
    <row r="135" spans="1:58" s="51" customFormat="1" ht="23.4" hidden="1" x14ac:dyDescent="0.25">
      <c r="A135" s="46">
        <v>134</v>
      </c>
      <c r="B135" s="47">
        <v>5783</v>
      </c>
      <c r="C135" s="47">
        <v>1634551</v>
      </c>
      <c r="D135" s="47" t="s">
        <v>131</v>
      </c>
      <c r="E135" s="47" t="s">
        <v>53</v>
      </c>
      <c r="F135" s="47" t="s">
        <v>1272</v>
      </c>
      <c r="G135" s="47" t="str">
        <f>CONCATENATE(TRIM(الجدول2[[#This Row],[الاسم الأول]])," ",TRIM(الجدول2[[#This Row],[اسم الأب]])," ",TRIM(الجدول2[[#This Row],[الكنية]]))</f>
        <v>علي ابراهيم سلهب</v>
      </c>
      <c r="H135" s="47" t="s">
        <v>1273</v>
      </c>
      <c r="I135" s="48" t="s">
        <v>1274</v>
      </c>
      <c r="J135" s="47" t="s">
        <v>58</v>
      </c>
      <c r="K135" s="47" t="s">
        <v>59</v>
      </c>
      <c r="L135" s="47" t="s">
        <v>59</v>
      </c>
      <c r="M135" s="47" t="s">
        <v>406</v>
      </c>
      <c r="N135" s="47" t="s">
        <v>1275</v>
      </c>
      <c r="O135" s="49">
        <v>35066</v>
      </c>
      <c r="P135" s="47" t="s">
        <v>1276</v>
      </c>
      <c r="Q135" s="47" t="s">
        <v>63</v>
      </c>
      <c r="R135" s="48" t="s">
        <v>1277</v>
      </c>
      <c r="S135" s="47" t="s">
        <v>109</v>
      </c>
      <c r="T135" s="47">
        <v>1</v>
      </c>
      <c r="U135" s="47">
        <v>0</v>
      </c>
      <c r="V135" s="47" t="s">
        <v>66</v>
      </c>
      <c r="W135" s="47" t="s">
        <v>67</v>
      </c>
      <c r="X135" s="47" t="s">
        <v>68</v>
      </c>
      <c r="Y135" s="47" t="s">
        <v>94</v>
      </c>
      <c r="Z135" s="47" t="s">
        <v>95</v>
      </c>
      <c r="AA135" s="47" t="s">
        <v>96</v>
      </c>
      <c r="AB135" s="47" t="s">
        <v>1278</v>
      </c>
      <c r="AC135" s="47" t="s">
        <v>73</v>
      </c>
      <c r="AD135" s="47" t="s">
        <v>74</v>
      </c>
      <c r="AE135" s="49">
        <v>45522</v>
      </c>
      <c r="AF135" s="47" t="s">
        <v>75</v>
      </c>
      <c r="AG135" s="47"/>
      <c r="AH135" s="47" t="s">
        <v>2277</v>
      </c>
      <c r="AI135" s="47" t="s">
        <v>76</v>
      </c>
      <c r="AJ135" s="47" t="s">
        <v>1279</v>
      </c>
      <c r="AK135" s="47" t="s">
        <v>59</v>
      </c>
      <c r="AL135" s="47" t="s">
        <v>59</v>
      </c>
      <c r="AM135" s="47" t="s">
        <v>79</v>
      </c>
      <c r="AN135" s="47" t="s">
        <v>80</v>
      </c>
      <c r="AO135" s="47"/>
      <c r="AP135" s="47"/>
      <c r="AQ135" s="47" t="s">
        <v>81</v>
      </c>
      <c r="AR135" s="47"/>
      <c r="AS135" s="47" t="s">
        <v>82</v>
      </c>
      <c r="AT135" s="47" t="s">
        <v>76</v>
      </c>
      <c r="AU135" s="47" t="s">
        <v>83</v>
      </c>
      <c r="AV135" s="47" t="s">
        <v>184</v>
      </c>
      <c r="AW135" s="47" t="s">
        <v>200</v>
      </c>
      <c r="AX135" s="47" t="s">
        <v>1280</v>
      </c>
      <c r="AY135" s="49">
        <v>44307</v>
      </c>
      <c r="AZ135" s="47" t="s">
        <v>80</v>
      </c>
      <c r="BA135" s="47"/>
      <c r="BB135" s="47" t="s">
        <v>2359</v>
      </c>
      <c r="BC135" s="47" t="s">
        <v>2542</v>
      </c>
      <c r="BD135" s="47">
        <v>522368213</v>
      </c>
      <c r="BE135" s="50">
        <v>916</v>
      </c>
      <c r="BF135" s="53">
        <v>943000</v>
      </c>
    </row>
    <row r="136" spans="1:58" s="51" customFormat="1" ht="23.4" hidden="1" x14ac:dyDescent="0.25">
      <c r="A136" s="46">
        <v>135</v>
      </c>
      <c r="B136" s="47"/>
      <c r="C136" s="47"/>
      <c r="D136" s="47" t="s">
        <v>131</v>
      </c>
      <c r="E136" s="47" t="s">
        <v>86</v>
      </c>
      <c r="F136" s="47" t="s">
        <v>53</v>
      </c>
      <c r="G136" s="47" t="str">
        <f>CONCATENATE(TRIM(الجدول2[[#This Row],[الاسم الأول]])," ",TRIM(الجدول2[[#This Row],[اسم الأب]])," ",TRIM(الجدول2[[#This Row],[الكنية]]))</f>
        <v>علي احمد ابراهيم</v>
      </c>
      <c r="H136" s="47" t="s">
        <v>1281</v>
      </c>
      <c r="I136" s="48" t="s">
        <v>1282</v>
      </c>
      <c r="J136" s="47" t="s">
        <v>58</v>
      </c>
      <c r="K136" s="47" t="s">
        <v>59</v>
      </c>
      <c r="L136" s="47" t="s">
        <v>164</v>
      </c>
      <c r="M136" s="47"/>
      <c r="N136" s="47" t="s">
        <v>59</v>
      </c>
      <c r="O136" s="49">
        <v>30563</v>
      </c>
      <c r="P136" s="47" t="s">
        <v>1283</v>
      </c>
      <c r="Q136" s="47" t="s">
        <v>63</v>
      </c>
      <c r="R136" s="48" t="s">
        <v>1284</v>
      </c>
      <c r="S136" s="47" t="s">
        <v>109</v>
      </c>
      <c r="T136" s="47">
        <v>1</v>
      </c>
      <c r="U136" s="47">
        <v>4</v>
      </c>
      <c r="V136" s="47" t="s">
        <v>667</v>
      </c>
      <c r="W136" s="47" t="s">
        <v>67</v>
      </c>
      <c r="X136" s="47" t="s">
        <v>68</v>
      </c>
      <c r="Y136" s="47" t="s">
        <v>152</v>
      </c>
      <c r="Z136" s="47"/>
      <c r="AA136" s="47"/>
      <c r="AB136" s="47" t="s">
        <v>1285</v>
      </c>
      <c r="AC136" s="47" t="s">
        <v>73</v>
      </c>
      <c r="AD136" s="47" t="s">
        <v>74</v>
      </c>
      <c r="AE136" s="49">
        <v>42197</v>
      </c>
      <c r="AF136" s="47" t="s">
        <v>139</v>
      </c>
      <c r="AG136" s="47"/>
      <c r="AH136" s="47" t="s">
        <v>140</v>
      </c>
      <c r="AI136" s="47" t="s">
        <v>1286</v>
      </c>
      <c r="AJ136" s="47"/>
      <c r="AK136" s="47" t="s">
        <v>59</v>
      </c>
      <c r="AL136" s="47" t="s">
        <v>164</v>
      </c>
      <c r="AM136" s="47" t="s">
        <v>99</v>
      </c>
      <c r="AN136" s="47" t="s">
        <v>80</v>
      </c>
      <c r="AO136" s="47"/>
      <c r="AP136" s="47"/>
      <c r="AQ136" s="47" t="s">
        <v>81</v>
      </c>
      <c r="AR136" s="47"/>
      <c r="AS136" s="47" t="s">
        <v>82</v>
      </c>
      <c r="AT136" s="47" t="s">
        <v>1287</v>
      </c>
      <c r="AU136" s="47"/>
      <c r="AV136" s="47"/>
      <c r="AW136" s="47"/>
      <c r="AX136" s="47"/>
      <c r="AY136" s="49"/>
      <c r="AZ136" s="47" t="s">
        <v>80</v>
      </c>
      <c r="BA136" s="47"/>
      <c r="BB136" s="47" t="s">
        <v>2358</v>
      </c>
      <c r="BC136" s="47" t="s">
        <v>2542</v>
      </c>
      <c r="BD136" s="47"/>
      <c r="BE136" s="50"/>
      <c r="BF136" s="53">
        <v>1098000</v>
      </c>
    </row>
    <row r="137" spans="1:58" s="51" customFormat="1" ht="23.4" hidden="1" x14ac:dyDescent="0.25">
      <c r="A137" s="46">
        <v>136</v>
      </c>
      <c r="B137" s="47">
        <v>5792</v>
      </c>
      <c r="C137" s="47">
        <v>16340100</v>
      </c>
      <c r="D137" s="47" t="s">
        <v>131</v>
      </c>
      <c r="E137" s="47" t="s">
        <v>86</v>
      </c>
      <c r="F137" s="47" t="s">
        <v>1288</v>
      </c>
      <c r="G137" s="47" t="str">
        <f>CONCATENATE(TRIM(الجدول2[[#This Row],[الاسم الأول]])," ",TRIM(الجدول2[[#This Row],[اسم الأب]])," ",TRIM(الجدول2[[#This Row],[الكنية]]))</f>
        <v>علي احمد الاسمر</v>
      </c>
      <c r="H137" s="47" t="s">
        <v>1289</v>
      </c>
      <c r="I137" s="48" t="s">
        <v>1290</v>
      </c>
      <c r="J137" s="47" t="s">
        <v>58</v>
      </c>
      <c r="K137" s="47" t="s">
        <v>59</v>
      </c>
      <c r="L137" s="47" t="s">
        <v>59</v>
      </c>
      <c r="M137" s="47" t="s">
        <v>60</v>
      </c>
      <c r="N137" s="47" t="s">
        <v>1291</v>
      </c>
      <c r="O137" s="49">
        <v>34943</v>
      </c>
      <c r="P137" s="47" t="s">
        <v>1292</v>
      </c>
      <c r="Q137" s="47" t="s">
        <v>63</v>
      </c>
      <c r="R137" s="48" t="s">
        <v>1293</v>
      </c>
      <c r="S137" s="47" t="s">
        <v>65</v>
      </c>
      <c r="T137" s="47"/>
      <c r="U137" s="47"/>
      <c r="V137" s="47" t="s">
        <v>66</v>
      </c>
      <c r="W137" s="47" t="s">
        <v>67</v>
      </c>
      <c r="X137" s="47" t="s">
        <v>68</v>
      </c>
      <c r="Y137" s="47" t="s">
        <v>152</v>
      </c>
      <c r="Z137" s="47"/>
      <c r="AA137" s="47"/>
      <c r="AB137" s="47" t="s">
        <v>72</v>
      </c>
      <c r="AC137" s="47" t="s">
        <v>73</v>
      </c>
      <c r="AD137" s="47" t="s">
        <v>74</v>
      </c>
      <c r="AE137" s="49">
        <v>45531</v>
      </c>
      <c r="AF137" s="47" t="s">
        <v>75</v>
      </c>
      <c r="AG137" s="47"/>
      <c r="AH137" s="47" t="s">
        <v>2277</v>
      </c>
      <c r="AI137" s="47" t="s">
        <v>76</v>
      </c>
      <c r="AJ137" s="47" t="s">
        <v>1294</v>
      </c>
      <c r="AK137" s="47" t="s">
        <v>59</v>
      </c>
      <c r="AL137" s="47" t="s">
        <v>59</v>
      </c>
      <c r="AM137" s="47" t="s">
        <v>79</v>
      </c>
      <c r="AN137" s="47" t="s">
        <v>80</v>
      </c>
      <c r="AO137" s="47"/>
      <c r="AP137" s="47"/>
      <c r="AQ137" s="47" t="s">
        <v>81</v>
      </c>
      <c r="AR137" s="47"/>
      <c r="AS137" s="47" t="s">
        <v>446</v>
      </c>
      <c r="AT137" s="47" t="s">
        <v>76</v>
      </c>
      <c r="AU137" s="47" t="s">
        <v>83</v>
      </c>
      <c r="AV137" s="47" t="s">
        <v>425</v>
      </c>
      <c r="AW137" s="47" t="s">
        <v>1295</v>
      </c>
      <c r="AX137" s="47" t="s">
        <v>1296</v>
      </c>
      <c r="AY137" s="49">
        <v>44355</v>
      </c>
      <c r="AZ137" s="47" t="s">
        <v>80</v>
      </c>
      <c r="BA137" s="47" t="s">
        <v>1297</v>
      </c>
      <c r="BB137" s="47" t="s">
        <v>2358</v>
      </c>
      <c r="BC137" s="47" t="s">
        <v>2542</v>
      </c>
      <c r="BD137" s="47">
        <v>523157878</v>
      </c>
      <c r="BE137" s="50">
        <v>2769</v>
      </c>
      <c r="BF137" s="53">
        <v>943000</v>
      </c>
    </row>
    <row r="138" spans="1:58" s="51" customFormat="1" ht="23.4" hidden="1" x14ac:dyDescent="0.25">
      <c r="A138" s="46">
        <v>137</v>
      </c>
      <c r="B138" s="47">
        <v>5778</v>
      </c>
      <c r="C138" s="47">
        <v>1640221</v>
      </c>
      <c r="D138" s="47" t="s">
        <v>131</v>
      </c>
      <c r="E138" s="47" t="s">
        <v>159</v>
      </c>
      <c r="F138" s="47" t="s">
        <v>583</v>
      </c>
      <c r="G138" s="47" t="str">
        <f>CONCATENATE(TRIM(الجدول2[[#This Row],[الاسم الأول]])," ",TRIM(الجدول2[[#This Row],[اسم الأب]])," ",TRIM(الجدول2[[#This Row],[الكنية]]))</f>
        <v>علي اديب حيدر</v>
      </c>
      <c r="H138" s="47" t="s">
        <v>1298</v>
      </c>
      <c r="I138" s="48" t="s">
        <v>1299</v>
      </c>
      <c r="J138" s="47" t="s">
        <v>58</v>
      </c>
      <c r="K138" s="47" t="s">
        <v>59</v>
      </c>
      <c r="L138" s="47" t="s">
        <v>105</v>
      </c>
      <c r="M138" s="47" t="s">
        <v>106</v>
      </c>
      <c r="N138" s="47" t="s">
        <v>638</v>
      </c>
      <c r="O138" s="49">
        <v>29609</v>
      </c>
      <c r="P138" s="47" t="s">
        <v>1300</v>
      </c>
      <c r="Q138" s="47" t="s">
        <v>63</v>
      </c>
      <c r="R138" s="48" t="s">
        <v>1301</v>
      </c>
      <c r="S138" s="47" t="s">
        <v>109</v>
      </c>
      <c r="T138" s="47">
        <v>1</v>
      </c>
      <c r="U138" s="47">
        <v>3</v>
      </c>
      <c r="V138" s="47" t="s">
        <v>66</v>
      </c>
      <c r="W138" s="47" t="s">
        <v>67</v>
      </c>
      <c r="X138" s="47" t="s">
        <v>68</v>
      </c>
      <c r="Y138" s="47" t="s">
        <v>152</v>
      </c>
      <c r="Z138" s="47"/>
      <c r="AA138" s="47"/>
      <c r="AB138" s="47" t="s">
        <v>249</v>
      </c>
      <c r="AC138" s="47" t="s">
        <v>73</v>
      </c>
      <c r="AD138" s="47" t="s">
        <v>74</v>
      </c>
      <c r="AE138" s="49">
        <v>42197</v>
      </c>
      <c r="AF138" s="47" t="s">
        <v>139</v>
      </c>
      <c r="AG138" s="47"/>
      <c r="AH138" s="47" t="s">
        <v>157</v>
      </c>
      <c r="AI138" s="47" t="s">
        <v>250</v>
      </c>
      <c r="AJ138" s="47"/>
      <c r="AK138" s="47" t="s">
        <v>59</v>
      </c>
      <c r="AL138" s="47" t="s">
        <v>59</v>
      </c>
      <c r="AM138" s="47" t="s">
        <v>99</v>
      </c>
      <c r="AN138" s="47" t="s">
        <v>80</v>
      </c>
      <c r="AO138" s="47"/>
      <c r="AP138" s="47"/>
      <c r="AQ138" s="47" t="s">
        <v>81</v>
      </c>
      <c r="AR138" s="47"/>
      <c r="AS138" s="47" t="s">
        <v>236</v>
      </c>
      <c r="AT138" s="47" t="s">
        <v>250</v>
      </c>
      <c r="AU138" s="47"/>
      <c r="AV138" s="47"/>
      <c r="AW138" s="47"/>
      <c r="AX138" s="47"/>
      <c r="AY138" s="49"/>
      <c r="AZ138" s="47" t="s">
        <v>80</v>
      </c>
      <c r="BA138" s="47" t="s">
        <v>1302</v>
      </c>
      <c r="BB138" s="47" t="s">
        <v>2359</v>
      </c>
      <c r="BC138" s="47" t="s">
        <v>2542</v>
      </c>
      <c r="BD138" s="47">
        <v>523078645</v>
      </c>
      <c r="BE138" s="50">
        <v>1987</v>
      </c>
      <c r="BF138" s="53">
        <v>1098000</v>
      </c>
    </row>
    <row r="139" spans="1:58" s="51" customFormat="1" ht="23.4" hidden="1" x14ac:dyDescent="0.25">
      <c r="A139" s="46">
        <v>138</v>
      </c>
      <c r="B139" s="47">
        <v>5855</v>
      </c>
      <c r="C139" s="47">
        <v>1639594</v>
      </c>
      <c r="D139" s="47" t="s">
        <v>131</v>
      </c>
      <c r="E139" s="47" t="s">
        <v>239</v>
      </c>
      <c r="F139" s="47" t="s">
        <v>1303</v>
      </c>
      <c r="G139" s="47" t="str">
        <f>CONCATENATE(TRIM(الجدول2[[#This Row],[الاسم الأول]])," ",TRIM(الجدول2[[#This Row],[اسم الأب]])," ",TRIM(الجدول2[[#This Row],[الكنية]]))</f>
        <v>علي حبيب دنيا</v>
      </c>
      <c r="H139" s="47" t="s">
        <v>1304</v>
      </c>
      <c r="I139" s="48" t="s">
        <v>1305</v>
      </c>
      <c r="J139" s="47" t="s">
        <v>58</v>
      </c>
      <c r="K139" s="47" t="s">
        <v>59</v>
      </c>
      <c r="L139" s="47" t="s">
        <v>59</v>
      </c>
      <c r="M139" s="47" t="s">
        <v>60</v>
      </c>
      <c r="N139" s="47" t="s">
        <v>59</v>
      </c>
      <c r="O139" s="49">
        <v>32123</v>
      </c>
      <c r="P139" s="47" t="s">
        <v>1306</v>
      </c>
      <c r="Q139" s="47" t="s">
        <v>63</v>
      </c>
      <c r="R139" s="48" t="s">
        <v>1307</v>
      </c>
      <c r="S139" s="47" t="s">
        <v>109</v>
      </c>
      <c r="T139" s="47">
        <v>1</v>
      </c>
      <c r="U139" s="47">
        <v>3</v>
      </c>
      <c r="V139" s="47" t="s">
        <v>66</v>
      </c>
      <c r="W139" s="47" t="s">
        <v>67</v>
      </c>
      <c r="X139" s="47" t="s">
        <v>68</v>
      </c>
      <c r="Y139" s="47" t="s">
        <v>246</v>
      </c>
      <c r="Z139" s="47" t="s">
        <v>247</v>
      </c>
      <c r="AA139" s="47" t="s">
        <v>1308</v>
      </c>
      <c r="AB139" s="47" t="s">
        <v>249</v>
      </c>
      <c r="AC139" s="47" t="s">
        <v>155</v>
      </c>
      <c r="AD139" s="47" t="s">
        <v>74</v>
      </c>
      <c r="AE139" s="49">
        <v>45054</v>
      </c>
      <c r="AF139" s="47" t="s">
        <v>156</v>
      </c>
      <c r="AG139" s="47"/>
      <c r="AH139" s="47" t="s">
        <v>157</v>
      </c>
      <c r="AI139" s="47" t="s">
        <v>250</v>
      </c>
      <c r="AJ139" s="47"/>
      <c r="AK139" s="47" t="s">
        <v>59</v>
      </c>
      <c r="AL139" s="47" t="s">
        <v>59</v>
      </c>
      <c r="AM139" s="47" t="s">
        <v>79</v>
      </c>
      <c r="AN139" s="47" t="s">
        <v>80</v>
      </c>
      <c r="AO139" s="47"/>
      <c r="AP139" s="47"/>
      <c r="AQ139" s="47" t="s">
        <v>81</v>
      </c>
      <c r="AR139" s="47"/>
      <c r="AS139" s="47" t="s">
        <v>82</v>
      </c>
      <c r="AT139" s="47" t="s">
        <v>250</v>
      </c>
      <c r="AU139" s="47"/>
      <c r="AV139" s="47"/>
      <c r="AW139" s="47"/>
      <c r="AX139" s="47"/>
      <c r="AY139" s="49"/>
      <c r="AZ139" s="47" t="s">
        <v>80</v>
      </c>
      <c r="BA139" s="47"/>
      <c r="BB139" s="47" t="s">
        <v>2359</v>
      </c>
      <c r="BC139" s="47" t="s">
        <v>2542</v>
      </c>
      <c r="BD139" s="47">
        <v>526467258</v>
      </c>
      <c r="BE139" s="50">
        <v>12316</v>
      </c>
      <c r="BF139" s="53">
        <v>918870</v>
      </c>
    </row>
    <row r="140" spans="1:58" s="51" customFormat="1" ht="23.4" hidden="1" x14ac:dyDescent="0.25">
      <c r="A140" s="46">
        <v>139</v>
      </c>
      <c r="B140" s="47">
        <v>6002</v>
      </c>
      <c r="C140" s="47">
        <v>1366842</v>
      </c>
      <c r="D140" s="47" t="s">
        <v>131</v>
      </c>
      <c r="E140" s="47" t="s">
        <v>485</v>
      </c>
      <c r="F140" s="47" t="s">
        <v>1309</v>
      </c>
      <c r="G140" s="47" t="str">
        <f>CONCATENATE(TRIM(الجدول2[[#This Row],[الاسم الأول]])," ",TRIM(الجدول2[[#This Row],[اسم الأب]])," ",TRIM(الجدول2[[#This Row],[الكنية]]))</f>
        <v>علي عقل حسيان</v>
      </c>
      <c r="H140" s="47" t="s">
        <v>1310</v>
      </c>
      <c r="I140" s="48" t="s">
        <v>1311</v>
      </c>
      <c r="J140" s="47" t="s">
        <v>58</v>
      </c>
      <c r="K140" s="47" t="s">
        <v>59</v>
      </c>
      <c r="L140" s="47" t="s">
        <v>59</v>
      </c>
      <c r="M140" s="47" t="s">
        <v>60</v>
      </c>
      <c r="N140" s="47" t="s">
        <v>59</v>
      </c>
      <c r="O140" s="49">
        <v>31052</v>
      </c>
      <c r="P140" s="47" t="s">
        <v>1312</v>
      </c>
      <c r="Q140" s="47" t="s">
        <v>63</v>
      </c>
      <c r="R140" s="48" t="s">
        <v>1313</v>
      </c>
      <c r="S140" s="47" t="s">
        <v>109</v>
      </c>
      <c r="T140" s="47">
        <v>1</v>
      </c>
      <c r="U140" s="47">
        <v>2</v>
      </c>
      <c r="V140" s="47" t="s">
        <v>66</v>
      </c>
      <c r="W140" s="47" t="s">
        <v>67</v>
      </c>
      <c r="X140" s="47" t="s">
        <v>68</v>
      </c>
      <c r="Y140" s="47" t="s">
        <v>565</v>
      </c>
      <c r="Z140" s="47"/>
      <c r="AA140" s="47"/>
      <c r="AB140" s="47" t="s">
        <v>1314</v>
      </c>
      <c r="AC140" s="47" t="s">
        <v>73</v>
      </c>
      <c r="AD140" s="47" t="s">
        <v>74</v>
      </c>
      <c r="AE140" s="49">
        <v>41336</v>
      </c>
      <c r="AF140" s="47" t="s">
        <v>75</v>
      </c>
      <c r="AG140" s="47"/>
      <c r="AH140" s="47" t="s">
        <v>2277</v>
      </c>
      <c r="AI140" s="47" t="s">
        <v>76</v>
      </c>
      <c r="AJ140" s="47" t="s">
        <v>277</v>
      </c>
      <c r="AK140" s="47" t="s">
        <v>59</v>
      </c>
      <c r="AL140" s="47" t="s">
        <v>59</v>
      </c>
      <c r="AM140" s="47" t="s">
        <v>99</v>
      </c>
      <c r="AN140" s="47" t="s">
        <v>80</v>
      </c>
      <c r="AO140" s="47"/>
      <c r="AP140" s="47"/>
      <c r="AQ140" s="47" t="s">
        <v>81</v>
      </c>
      <c r="AR140" s="47"/>
      <c r="AS140" s="47" t="s">
        <v>173</v>
      </c>
      <c r="AT140" s="47" t="s">
        <v>291</v>
      </c>
      <c r="AU140" s="47" t="s">
        <v>83</v>
      </c>
      <c r="AV140" s="47" t="s">
        <v>425</v>
      </c>
      <c r="AW140" s="47" t="s">
        <v>277</v>
      </c>
      <c r="AX140" s="47" t="s">
        <v>505</v>
      </c>
      <c r="AY140" s="49">
        <v>39673</v>
      </c>
      <c r="AZ140" s="47" t="s">
        <v>80</v>
      </c>
      <c r="BA140" s="47"/>
      <c r="BB140" s="47" t="s">
        <v>2359</v>
      </c>
      <c r="BC140" s="47" t="s">
        <v>2542</v>
      </c>
      <c r="BD140" s="47">
        <v>526095079</v>
      </c>
      <c r="BE140" s="50">
        <v>10974</v>
      </c>
      <c r="BF140" s="53">
        <v>1332231</v>
      </c>
    </row>
    <row r="141" spans="1:58" s="51" customFormat="1" ht="23.4" hidden="1" x14ac:dyDescent="0.25">
      <c r="A141" s="46">
        <v>140</v>
      </c>
      <c r="B141" s="47">
        <v>6005</v>
      </c>
      <c r="C141" s="47"/>
      <c r="D141" s="47" t="s">
        <v>131</v>
      </c>
      <c r="E141" s="47" t="s">
        <v>476</v>
      </c>
      <c r="F141" s="47" t="s">
        <v>1315</v>
      </c>
      <c r="G141" s="47" t="str">
        <f>CONCATENATE(TRIM(الجدول2[[#This Row],[الاسم الأول]])," ",TRIM(الجدول2[[#This Row],[اسم الأب]])," ",TRIM(الجدول2[[#This Row],[الكنية]]))</f>
        <v>علي عمار مرعي</v>
      </c>
      <c r="H141" s="47" t="s">
        <v>1316</v>
      </c>
      <c r="I141" s="48" t="s">
        <v>1317</v>
      </c>
      <c r="J141" s="47" t="s">
        <v>58</v>
      </c>
      <c r="K141" s="47" t="s">
        <v>59</v>
      </c>
      <c r="L141" s="47" t="s">
        <v>59</v>
      </c>
      <c r="M141" s="47" t="s">
        <v>1318</v>
      </c>
      <c r="N141" s="47" t="s">
        <v>1319</v>
      </c>
      <c r="O141" s="49">
        <v>32874</v>
      </c>
      <c r="P141" s="47" t="s">
        <v>1320</v>
      </c>
      <c r="Q141" s="47" t="s">
        <v>63</v>
      </c>
      <c r="R141" s="48" t="s">
        <v>1321</v>
      </c>
      <c r="S141" s="47" t="s">
        <v>109</v>
      </c>
      <c r="T141" s="47">
        <v>1</v>
      </c>
      <c r="U141" s="47">
        <v>2</v>
      </c>
      <c r="V141" s="47" t="s">
        <v>66</v>
      </c>
      <c r="W141" s="47" t="s">
        <v>67</v>
      </c>
      <c r="X141" s="47" t="s">
        <v>68</v>
      </c>
      <c r="Y141" s="47" t="s">
        <v>137</v>
      </c>
      <c r="Z141" s="47"/>
      <c r="AA141" s="47"/>
      <c r="AB141" s="47" t="s">
        <v>1322</v>
      </c>
      <c r="AC141" s="47" t="s">
        <v>73</v>
      </c>
      <c r="AD141" s="47" t="s">
        <v>74</v>
      </c>
      <c r="AE141" s="49">
        <v>41299</v>
      </c>
      <c r="AF141" s="47" t="s">
        <v>123</v>
      </c>
      <c r="AG141" s="47"/>
      <c r="AH141" s="47" t="s">
        <v>124</v>
      </c>
      <c r="AI141" s="47" t="s">
        <v>182</v>
      </c>
      <c r="AJ141" s="47" t="s">
        <v>1051</v>
      </c>
      <c r="AK141" s="47" t="s">
        <v>59</v>
      </c>
      <c r="AL141" s="47" t="s">
        <v>59</v>
      </c>
      <c r="AM141" s="47" t="s">
        <v>99</v>
      </c>
      <c r="AN141" s="47" t="s">
        <v>80</v>
      </c>
      <c r="AO141" s="47"/>
      <c r="AP141" s="47"/>
      <c r="AQ141" s="47" t="s">
        <v>81</v>
      </c>
      <c r="AR141" s="47"/>
      <c r="AS141" s="47" t="s">
        <v>173</v>
      </c>
      <c r="AT141" s="47" t="s">
        <v>182</v>
      </c>
      <c r="AU141" s="47" t="s">
        <v>83</v>
      </c>
      <c r="AV141" s="47" t="s">
        <v>425</v>
      </c>
      <c r="AW141" s="47" t="s">
        <v>182</v>
      </c>
      <c r="AX141" s="47" t="s">
        <v>1051</v>
      </c>
      <c r="AY141" s="49">
        <v>40314</v>
      </c>
      <c r="AZ141" s="47" t="s">
        <v>80</v>
      </c>
      <c r="BA141" s="47" t="s">
        <v>1323</v>
      </c>
      <c r="BB141" s="47" t="s">
        <v>2358</v>
      </c>
      <c r="BC141" s="47" t="s">
        <v>2542</v>
      </c>
      <c r="BD141" s="47">
        <v>528031096</v>
      </c>
      <c r="BE141" s="50">
        <v>21580</v>
      </c>
      <c r="BF141" s="53">
        <v>1243000</v>
      </c>
    </row>
    <row r="142" spans="1:58" s="51" customFormat="1" ht="23.4" hidden="1" x14ac:dyDescent="0.25">
      <c r="A142" s="46">
        <v>141</v>
      </c>
      <c r="B142" s="47">
        <v>6034</v>
      </c>
      <c r="C142" s="47">
        <v>1639568</v>
      </c>
      <c r="D142" s="47" t="s">
        <v>131</v>
      </c>
      <c r="E142" s="47" t="s">
        <v>1324</v>
      </c>
      <c r="F142" s="47" t="s">
        <v>53</v>
      </c>
      <c r="G142" s="47" t="str">
        <f>CONCATENATE(TRIM(الجدول2[[#This Row],[الاسم الأول]])," ",TRIM(الجدول2[[#This Row],[اسم الأب]])," ",TRIM(الجدول2[[#This Row],[الكنية]]))</f>
        <v>علي محسن ابراهيم</v>
      </c>
      <c r="H142" s="47" t="s">
        <v>1325</v>
      </c>
      <c r="I142" s="48" t="s">
        <v>1326</v>
      </c>
      <c r="J142" s="47" t="s">
        <v>58</v>
      </c>
      <c r="K142" s="47" t="s">
        <v>59</v>
      </c>
      <c r="L142" s="47" t="s">
        <v>105</v>
      </c>
      <c r="M142" s="47" t="s">
        <v>106</v>
      </c>
      <c r="N142" s="47" t="s">
        <v>1327</v>
      </c>
      <c r="O142" s="49">
        <v>32395</v>
      </c>
      <c r="P142" s="47" t="s">
        <v>1328</v>
      </c>
      <c r="Q142" s="47" t="s">
        <v>63</v>
      </c>
      <c r="R142" s="48" t="s">
        <v>1329</v>
      </c>
      <c r="S142" s="47" t="s">
        <v>109</v>
      </c>
      <c r="T142" s="47">
        <v>1</v>
      </c>
      <c r="U142" s="47">
        <v>2</v>
      </c>
      <c r="V142" s="47" t="s">
        <v>66</v>
      </c>
      <c r="W142" s="47" t="s">
        <v>67</v>
      </c>
      <c r="X142" s="47" t="s">
        <v>68</v>
      </c>
      <c r="Y142" s="47" t="s">
        <v>246</v>
      </c>
      <c r="Z142" s="47" t="s">
        <v>247</v>
      </c>
      <c r="AA142" s="47" t="s">
        <v>248</v>
      </c>
      <c r="AB142" s="47" t="s">
        <v>249</v>
      </c>
      <c r="AC142" s="47" t="s">
        <v>155</v>
      </c>
      <c r="AD142" s="47" t="s">
        <v>74</v>
      </c>
      <c r="AE142" s="49">
        <v>45088</v>
      </c>
      <c r="AF142" s="47" t="s">
        <v>156</v>
      </c>
      <c r="AG142" s="47"/>
      <c r="AH142" s="47" t="s">
        <v>157</v>
      </c>
      <c r="AI142" s="47" t="s">
        <v>250</v>
      </c>
      <c r="AJ142" s="47"/>
      <c r="AK142" s="47" t="s">
        <v>59</v>
      </c>
      <c r="AL142" s="47" t="s">
        <v>105</v>
      </c>
      <c r="AM142" s="47" t="s">
        <v>99</v>
      </c>
      <c r="AN142" s="47" t="s">
        <v>80</v>
      </c>
      <c r="AO142" s="47"/>
      <c r="AP142" s="47"/>
      <c r="AQ142" s="47" t="s">
        <v>81</v>
      </c>
      <c r="AR142" s="47"/>
      <c r="AS142" s="47" t="s">
        <v>82</v>
      </c>
      <c r="AT142" s="47" t="s">
        <v>250</v>
      </c>
      <c r="AU142" s="47"/>
      <c r="AV142" s="47"/>
      <c r="AW142" s="47"/>
      <c r="AX142" s="47"/>
      <c r="AY142" s="49"/>
      <c r="AZ142" s="47" t="s">
        <v>80</v>
      </c>
      <c r="BA142" s="47"/>
      <c r="BB142" s="47" t="s">
        <v>2359</v>
      </c>
      <c r="BC142" s="47" t="s">
        <v>2542</v>
      </c>
      <c r="BD142" s="47">
        <v>526471560</v>
      </c>
      <c r="BE142" s="50">
        <v>12347</v>
      </c>
      <c r="BF142" s="53">
        <v>918870</v>
      </c>
    </row>
    <row r="143" spans="1:58" s="51" customFormat="1" ht="23.4" hidden="1" x14ac:dyDescent="0.25">
      <c r="A143" s="46">
        <v>142</v>
      </c>
      <c r="B143" s="47">
        <v>44984</v>
      </c>
      <c r="C143" s="47">
        <v>1639595</v>
      </c>
      <c r="D143" s="47" t="s">
        <v>131</v>
      </c>
      <c r="E143" s="47" t="s">
        <v>115</v>
      </c>
      <c r="F143" s="47" t="s">
        <v>1330</v>
      </c>
      <c r="G143" s="47" t="str">
        <f>CONCATENATE(TRIM(الجدول2[[#This Row],[الاسم الأول]])," ",TRIM(الجدول2[[#This Row],[اسم الأب]])," ",TRIM(الجدول2[[#This Row],[الكنية]]))</f>
        <v>علي محمد عجوز</v>
      </c>
      <c r="H143" s="47" t="s">
        <v>1331</v>
      </c>
      <c r="I143" s="48">
        <v>10010109847</v>
      </c>
      <c r="J143" s="47" t="s">
        <v>58</v>
      </c>
      <c r="K143" s="47" t="s">
        <v>59</v>
      </c>
      <c r="L143" s="47" t="s">
        <v>59</v>
      </c>
      <c r="M143" s="47" t="s">
        <v>60</v>
      </c>
      <c r="N143" s="47" t="s">
        <v>59</v>
      </c>
      <c r="O143" s="49">
        <v>35193</v>
      </c>
      <c r="P143" s="47" t="s">
        <v>1332</v>
      </c>
      <c r="Q143" s="47" t="s">
        <v>63</v>
      </c>
      <c r="R143" s="48" t="s">
        <v>1333</v>
      </c>
      <c r="S143" s="47" t="s">
        <v>109</v>
      </c>
      <c r="T143" s="47">
        <v>1</v>
      </c>
      <c r="U143" s="47">
        <v>2</v>
      </c>
      <c r="V143" s="47" t="s">
        <v>66</v>
      </c>
      <c r="W143" s="47" t="s">
        <v>67</v>
      </c>
      <c r="X143" s="47" t="s">
        <v>68</v>
      </c>
      <c r="Y143" s="47" t="s">
        <v>152</v>
      </c>
      <c r="Z143" s="47" t="s">
        <v>1334</v>
      </c>
      <c r="AA143" s="47"/>
      <c r="AB143" s="47" t="s">
        <v>1335</v>
      </c>
      <c r="AC143" s="47" t="s">
        <v>155</v>
      </c>
      <c r="AD143" s="47" t="s">
        <v>74</v>
      </c>
      <c r="AE143" s="49">
        <v>45077</v>
      </c>
      <c r="AF143" s="47" t="s">
        <v>123</v>
      </c>
      <c r="AG143" s="47"/>
      <c r="AH143" s="47" t="s">
        <v>157</v>
      </c>
      <c r="AI143" s="47" t="s">
        <v>250</v>
      </c>
      <c r="AJ143" s="47"/>
      <c r="AK143" s="47" t="s">
        <v>59</v>
      </c>
      <c r="AL143" s="47" t="s">
        <v>59</v>
      </c>
      <c r="AM143" s="47" t="s">
        <v>158</v>
      </c>
      <c r="AN143" s="47" t="s">
        <v>80</v>
      </c>
      <c r="AO143" s="47"/>
      <c r="AP143" s="47"/>
      <c r="AQ143" s="47" t="s">
        <v>81</v>
      </c>
      <c r="AR143" s="47"/>
      <c r="AS143" s="47" t="s">
        <v>173</v>
      </c>
      <c r="AT143" s="47" t="s">
        <v>250</v>
      </c>
      <c r="AU143" s="47"/>
      <c r="AV143" s="47"/>
      <c r="AW143" s="47"/>
      <c r="AX143" s="47"/>
      <c r="AY143" s="49"/>
      <c r="AZ143" s="47" t="s">
        <v>80</v>
      </c>
      <c r="BA143" s="47"/>
      <c r="BB143" s="47" t="s">
        <v>2358</v>
      </c>
      <c r="BC143" s="47" t="s">
        <v>2542</v>
      </c>
      <c r="BD143" s="47">
        <v>523162453</v>
      </c>
      <c r="BE143" s="50">
        <v>2808</v>
      </c>
      <c r="BF143" s="53">
        <v>918870</v>
      </c>
    </row>
    <row r="144" spans="1:58" s="51" customFormat="1" ht="23.4" hidden="1" x14ac:dyDescent="0.25">
      <c r="A144" s="46">
        <v>143</v>
      </c>
      <c r="B144" s="47">
        <v>6082</v>
      </c>
      <c r="C144" s="47">
        <v>16340552</v>
      </c>
      <c r="D144" s="47" t="s">
        <v>131</v>
      </c>
      <c r="E144" s="47" t="s">
        <v>115</v>
      </c>
      <c r="F144" s="47" t="s">
        <v>115</v>
      </c>
      <c r="G144" s="47" t="str">
        <f>CONCATENATE(TRIM(الجدول2[[#This Row],[الاسم الأول]])," ",TRIM(الجدول2[[#This Row],[اسم الأب]])," ",TRIM(الجدول2[[#This Row],[الكنية]]))</f>
        <v>علي محمد محمد</v>
      </c>
      <c r="H144" s="47" t="s">
        <v>1336</v>
      </c>
      <c r="I144" s="48" t="s">
        <v>1337</v>
      </c>
      <c r="J144" s="47" t="s">
        <v>58</v>
      </c>
      <c r="K144" s="47" t="s">
        <v>59</v>
      </c>
      <c r="L144" s="47" t="s">
        <v>164</v>
      </c>
      <c r="M144" s="47" t="s">
        <v>165</v>
      </c>
      <c r="N144" s="47" t="s">
        <v>59</v>
      </c>
      <c r="O144" s="49">
        <v>35309</v>
      </c>
      <c r="P144" s="47" t="s">
        <v>1338</v>
      </c>
      <c r="Q144" s="47" t="s">
        <v>63</v>
      </c>
      <c r="R144" s="48" t="s">
        <v>1339</v>
      </c>
      <c r="S144" s="47" t="s">
        <v>65</v>
      </c>
      <c r="T144" s="47"/>
      <c r="U144" s="47"/>
      <c r="V144" s="47" t="s">
        <v>66</v>
      </c>
      <c r="W144" s="47" t="s">
        <v>67</v>
      </c>
      <c r="X144" s="47" t="s">
        <v>68</v>
      </c>
      <c r="Y144" s="54" t="s">
        <v>233</v>
      </c>
      <c r="Z144" s="47" t="s">
        <v>409</v>
      </c>
      <c r="AA144" s="47"/>
      <c r="AB144" s="47" t="s">
        <v>72</v>
      </c>
      <c r="AC144" s="47" t="s">
        <v>73</v>
      </c>
      <c r="AD144" s="47" t="s">
        <v>74</v>
      </c>
      <c r="AE144" s="49">
        <v>45494</v>
      </c>
      <c r="AF144" s="47" t="s">
        <v>75</v>
      </c>
      <c r="AG144" s="47"/>
      <c r="AH144" s="47" t="s">
        <v>2277</v>
      </c>
      <c r="AI144" s="47" t="s">
        <v>76</v>
      </c>
      <c r="AJ144" s="47" t="s">
        <v>858</v>
      </c>
      <c r="AK144" s="47" t="s">
        <v>59</v>
      </c>
      <c r="AL144" s="47" t="s">
        <v>164</v>
      </c>
      <c r="AM144" s="47" t="s">
        <v>99</v>
      </c>
      <c r="AN144" s="47" t="s">
        <v>80</v>
      </c>
      <c r="AO144" s="47"/>
      <c r="AP144" s="47"/>
      <c r="AQ144" s="47" t="s">
        <v>81</v>
      </c>
      <c r="AR144" s="47"/>
      <c r="AS144" s="47" t="s">
        <v>82</v>
      </c>
      <c r="AT144" s="47" t="s">
        <v>76</v>
      </c>
      <c r="AU144" s="47" t="s">
        <v>83</v>
      </c>
      <c r="AV144" s="47" t="s">
        <v>184</v>
      </c>
      <c r="AW144" s="47" t="s">
        <v>100</v>
      </c>
      <c r="AX144" s="47" t="s">
        <v>100</v>
      </c>
      <c r="AY144" s="49">
        <v>44502</v>
      </c>
      <c r="AZ144" s="47" t="s">
        <v>80</v>
      </c>
      <c r="BA144" s="47"/>
      <c r="BB144" s="47" t="s">
        <v>2359</v>
      </c>
      <c r="BC144" s="47" t="s">
        <v>2542</v>
      </c>
      <c r="BD144" s="47">
        <v>523985464</v>
      </c>
      <c r="BE144" s="50">
        <v>5087</v>
      </c>
      <c r="BF144" s="53">
        <v>943000</v>
      </c>
    </row>
    <row r="145" spans="1:58" s="51" customFormat="1" ht="23.4" hidden="1" x14ac:dyDescent="0.25">
      <c r="A145" s="46">
        <v>144</v>
      </c>
      <c r="B145" s="47">
        <v>6141</v>
      </c>
      <c r="C145" s="47">
        <v>1639579</v>
      </c>
      <c r="D145" s="47" t="s">
        <v>131</v>
      </c>
      <c r="E145" s="47" t="s">
        <v>1340</v>
      </c>
      <c r="F145" s="47" t="s">
        <v>55</v>
      </c>
      <c r="G145" s="47" t="str">
        <f>CONCATENATE(TRIM(الجدول2[[#This Row],[الاسم الأول]])," ",TRIM(الجدول2[[#This Row],[اسم الأب]])," ",TRIM(الجدول2[[#This Row],[الكنية]]))</f>
        <v>علي هيثم حسن</v>
      </c>
      <c r="H145" s="47" t="s">
        <v>1341</v>
      </c>
      <c r="I145" s="48" t="s">
        <v>1342</v>
      </c>
      <c r="J145" s="47" t="s">
        <v>58</v>
      </c>
      <c r="K145" s="47" t="s">
        <v>59</v>
      </c>
      <c r="L145" s="47" t="s">
        <v>90</v>
      </c>
      <c r="M145" s="47" t="s">
        <v>298</v>
      </c>
      <c r="N145" s="47" t="s">
        <v>820</v>
      </c>
      <c r="O145" s="49">
        <v>36892</v>
      </c>
      <c r="P145" s="47" t="s">
        <v>1343</v>
      </c>
      <c r="Q145" s="47" t="s">
        <v>63</v>
      </c>
      <c r="R145" s="48" t="s">
        <v>1344</v>
      </c>
      <c r="S145" s="47" t="s">
        <v>65</v>
      </c>
      <c r="T145" s="47"/>
      <c r="U145" s="47"/>
      <c r="V145" s="47" t="s">
        <v>66</v>
      </c>
      <c r="W145" s="47" t="s">
        <v>67</v>
      </c>
      <c r="X145" s="47" t="s">
        <v>68</v>
      </c>
      <c r="Y145" s="47" t="s">
        <v>152</v>
      </c>
      <c r="Z145" s="47" t="s">
        <v>349</v>
      </c>
      <c r="AA145" s="47" t="s">
        <v>1345</v>
      </c>
      <c r="AB145" s="47" t="s">
        <v>529</v>
      </c>
      <c r="AC145" s="47" t="s">
        <v>155</v>
      </c>
      <c r="AD145" s="47" t="s">
        <v>74</v>
      </c>
      <c r="AE145" s="49">
        <v>45054</v>
      </c>
      <c r="AF145" s="47" t="s">
        <v>156</v>
      </c>
      <c r="AG145" s="47"/>
      <c r="AH145" s="47" t="s">
        <v>157</v>
      </c>
      <c r="AI145" s="47" t="s">
        <v>250</v>
      </c>
      <c r="AJ145" s="47"/>
      <c r="AK145" s="47" t="s">
        <v>59</v>
      </c>
      <c r="AL145" s="47" t="s">
        <v>90</v>
      </c>
      <c r="AM145" s="47" t="s">
        <v>99</v>
      </c>
      <c r="AN145" s="47" t="s">
        <v>80</v>
      </c>
      <c r="AO145" s="47"/>
      <c r="AP145" s="47"/>
      <c r="AQ145" s="47" t="s">
        <v>81</v>
      </c>
      <c r="AR145" s="47"/>
      <c r="AS145" s="47" t="s">
        <v>82</v>
      </c>
      <c r="AT145" s="47" t="s">
        <v>250</v>
      </c>
      <c r="AU145" s="47"/>
      <c r="AV145" s="47"/>
      <c r="AW145" s="47"/>
      <c r="AX145" s="47"/>
      <c r="AY145" s="49"/>
      <c r="AZ145" s="47" t="s">
        <v>80</v>
      </c>
      <c r="BA145" s="47"/>
      <c r="BB145" s="47" t="s">
        <v>2358</v>
      </c>
      <c r="BC145" s="47" t="s">
        <v>2542</v>
      </c>
      <c r="BD145" s="47">
        <v>523210580</v>
      </c>
      <c r="BE145" s="50">
        <v>3177</v>
      </c>
      <c r="BF145" s="53">
        <v>918870</v>
      </c>
    </row>
    <row r="146" spans="1:58" s="51" customFormat="1" ht="23.4" hidden="1" x14ac:dyDescent="0.25">
      <c r="A146" s="46">
        <v>145</v>
      </c>
      <c r="B146" s="47">
        <v>6402</v>
      </c>
      <c r="C146" s="47"/>
      <c r="D146" s="47" t="s">
        <v>1346</v>
      </c>
      <c r="E146" s="47" t="s">
        <v>228</v>
      </c>
      <c r="F146" s="47" t="s">
        <v>558</v>
      </c>
      <c r="G146" s="47" t="str">
        <f>CONCATENATE(TRIM(الجدول2[[#This Row],[الاسم الأول]])," ",TRIM(الجدول2[[#This Row],[اسم الأب]])," ",TRIM(الجدول2[[#This Row],[الكنية]]))</f>
        <v>عواطف محمود حسين</v>
      </c>
      <c r="H146" s="47" t="s">
        <v>1347</v>
      </c>
      <c r="I146" s="48" t="s">
        <v>1348</v>
      </c>
      <c r="J146" s="47" t="s">
        <v>58</v>
      </c>
      <c r="K146" s="47" t="s">
        <v>59</v>
      </c>
      <c r="L146" s="47" t="s">
        <v>141</v>
      </c>
      <c r="M146" s="47" t="s">
        <v>242</v>
      </c>
      <c r="N146" s="47" t="s">
        <v>1349</v>
      </c>
      <c r="O146" s="49">
        <v>28406</v>
      </c>
      <c r="P146" s="47" t="s">
        <v>1350</v>
      </c>
      <c r="Q146" s="47" t="s">
        <v>179</v>
      </c>
      <c r="R146" s="48" t="s">
        <v>1351</v>
      </c>
      <c r="S146" s="47" t="s">
        <v>109</v>
      </c>
      <c r="T146" s="47"/>
      <c r="U146" s="47">
        <v>0</v>
      </c>
      <c r="V146" s="47" t="s">
        <v>66</v>
      </c>
      <c r="W146" s="47" t="s">
        <v>67</v>
      </c>
      <c r="X146" s="47" t="s">
        <v>68</v>
      </c>
      <c r="Y146" s="47" t="s">
        <v>137</v>
      </c>
      <c r="Z146" s="47"/>
      <c r="AA146" s="47"/>
      <c r="AB146" s="47" t="s">
        <v>212</v>
      </c>
      <c r="AC146" s="47" t="s">
        <v>155</v>
      </c>
      <c r="AD146" s="47" t="s">
        <v>74</v>
      </c>
      <c r="AE146" s="49">
        <v>44059</v>
      </c>
      <c r="AF146" s="47" t="s">
        <v>123</v>
      </c>
      <c r="AG146" s="47"/>
      <c r="AH146" s="47" t="s">
        <v>140</v>
      </c>
      <c r="AI146" s="47" t="s">
        <v>143</v>
      </c>
      <c r="AJ146" s="47"/>
      <c r="AK146" s="47" t="s">
        <v>59</v>
      </c>
      <c r="AL146" s="47" t="s">
        <v>141</v>
      </c>
      <c r="AM146" s="47" t="s">
        <v>99</v>
      </c>
      <c r="AN146" s="47" t="s">
        <v>80</v>
      </c>
      <c r="AO146" s="47"/>
      <c r="AP146" s="47"/>
      <c r="AQ146" s="47" t="s">
        <v>81</v>
      </c>
      <c r="AR146" s="47"/>
      <c r="AS146" s="47" t="s">
        <v>173</v>
      </c>
      <c r="AT146" s="47" t="s">
        <v>143</v>
      </c>
      <c r="AU146" s="47" t="s">
        <v>83</v>
      </c>
      <c r="AV146" s="47"/>
      <c r="AW146" s="47"/>
      <c r="AX146" s="47"/>
      <c r="AY146" s="49">
        <v>34180</v>
      </c>
      <c r="AZ146" s="47" t="s">
        <v>80</v>
      </c>
      <c r="BA146" s="47" t="s">
        <v>1352</v>
      </c>
      <c r="BB146" s="47" t="s">
        <v>2358</v>
      </c>
      <c r="BC146" s="47" t="s">
        <v>2542</v>
      </c>
      <c r="BD146" s="47">
        <v>528123669</v>
      </c>
      <c r="BE146" s="50">
        <v>22692</v>
      </c>
      <c r="BF146" s="53">
        <v>994128</v>
      </c>
    </row>
    <row r="147" spans="1:58" s="51" customFormat="1" ht="23.4" hidden="1" x14ac:dyDescent="0.25">
      <c r="A147" s="46">
        <v>146</v>
      </c>
      <c r="B147" s="47">
        <v>6472</v>
      </c>
      <c r="C147" s="47"/>
      <c r="D147" s="47" t="s">
        <v>506</v>
      </c>
      <c r="E147" s="47" t="s">
        <v>1353</v>
      </c>
      <c r="F147" s="47" t="s">
        <v>1354</v>
      </c>
      <c r="G147" s="47" t="str">
        <f>CONCATENATE(TRIM(الجدول2[[#This Row],[الاسم الأول]])," ",TRIM(الجدول2[[#This Row],[اسم الأب]])," ",TRIM(الجدول2[[#This Row],[الكنية]]))</f>
        <v>عيسى محمد معين قبيطري</v>
      </c>
      <c r="H147" s="47" t="s">
        <v>1355</v>
      </c>
      <c r="I147" s="48" t="s">
        <v>1356</v>
      </c>
      <c r="J147" s="47" t="s">
        <v>58</v>
      </c>
      <c r="K147" s="47" t="s">
        <v>59</v>
      </c>
      <c r="L147" s="47" t="s">
        <v>59</v>
      </c>
      <c r="M147" s="47" t="s">
        <v>60</v>
      </c>
      <c r="N147" s="47" t="s">
        <v>184</v>
      </c>
      <c r="O147" s="49">
        <v>31516</v>
      </c>
      <c r="P147" s="47" t="s">
        <v>1357</v>
      </c>
      <c r="Q147" s="47" t="s">
        <v>63</v>
      </c>
      <c r="R147" s="48" t="s">
        <v>1358</v>
      </c>
      <c r="S147" s="47" t="s">
        <v>109</v>
      </c>
      <c r="T147" s="47">
        <v>1</v>
      </c>
      <c r="U147" s="47">
        <v>2</v>
      </c>
      <c r="V147" s="47" t="s">
        <v>66</v>
      </c>
      <c r="W147" s="47" t="s">
        <v>67</v>
      </c>
      <c r="X147" s="47" t="s">
        <v>68</v>
      </c>
      <c r="Y147" s="47" t="s">
        <v>1015</v>
      </c>
      <c r="Z147" s="47"/>
      <c r="AA147" s="47"/>
      <c r="AB147" s="47" t="s">
        <v>1016</v>
      </c>
      <c r="AC147" s="47" t="s">
        <v>73</v>
      </c>
      <c r="AD147" s="47" t="s">
        <v>74</v>
      </c>
      <c r="AE147" s="49">
        <v>41294</v>
      </c>
      <c r="AF147" s="47" t="s">
        <v>156</v>
      </c>
      <c r="AG147" s="47"/>
      <c r="AH147" s="47" t="s">
        <v>1007</v>
      </c>
      <c r="AI147" s="47" t="s">
        <v>143</v>
      </c>
      <c r="AJ147" s="47"/>
      <c r="AK147" s="47" t="s">
        <v>59</v>
      </c>
      <c r="AL147" s="47" t="s">
        <v>59</v>
      </c>
      <c r="AM147" s="47" t="s">
        <v>79</v>
      </c>
      <c r="AN147" s="47" t="s">
        <v>80</v>
      </c>
      <c r="AO147" s="47"/>
      <c r="AP147" s="47"/>
      <c r="AQ147" s="47" t="s">
        <v>81</v>
      </c>
      <c r="AR147" s="47"/>
      <c r="AS147" s="47" t="s">
        <v>82</v>
      </c>
      <c r="AT147" s="47" t="s">
        <v>143</v>
      </c>
      <c r="AU147" s="47" t="s">
        <v>83</v>
      </c>
      <c r="AV147" s="47"/>
      <c r="AW147" s="47"/>
      <c r="AX147" s="47"/>
      <c r="AY147" s="49">
        <v>37461</v>
      </c>
      <c r="AZ147" s="47" t="s">
        <v>80</v>
      </c>
      <c r="BA147" s="47"/>
      <c r="BB147" s="47" t="s">
        <v>2359</v>
      </c>
      <c r="BC147" s="47" t="s">
        <v>2542</v>
      </c>
      <c r="BD147" s="47">
        <v>526126692</v>
      </c>
      <c r="BE147" s="50">
        <v>11350</v>
      </c>
      <c r="BF147" s="53">
        <v>921159</v>
      </c>
    </row>
    <row r="148" spans="1:58" s="51" customFormat="1" ht="23.4" hidden="1" x14ac:dyDescent="0.25">
      <c r="A148" s="46">
        <v>147</v>
      </c>
      <c r="B148" s="47">
        <v>6619</v>
      </c>
      <c r="C148" s="47">
        <v>1481235</v>
      </c>
      <c r="D148" s="47" t="s">
        <v>1359</v>
      </c>
      <c r="E148" s="47" t="s">
        <v>86</v>
      </c>
      <c r="F148" s="47" t="s">
        <v>763</v>
      </c>
      <c r="G148" s="47" t="str">
        <f>CONCATENATE(TRIM(الجدول2[[#This Row],[الاسم الأول]])," ",TRIM(الجدول2[[#This Row],[اسم الأب]])," ",TRIM(الجدول2[[#This Row],[الكنية]]))</f>
        <v>غنوة احمد رمضان</v>
      </c>
      <c r="H148" s="47" t="s">
        <v>1360</v>
      </c>
      <c r="I148" s="48" t="s">
        <v>1361</v>
      </c>
      <c r="J148" s="47" t="s">
        <v>58</v>
      </c>
      <c r="K148" s="47" t="s">
        <v>59</v>
      </c>
      <c r="L148" s="47" t="s">
        <v>59</v>
      </c>
      <c r="M148" s="47" t="s">
        <v>60</v>
      </c>
      <c r="N148" s="47" t="s">
        <v>59</v>
      </c>
      <c r="O148" s="49">
        <v>36016</v>
      </c>
      <c r="P148" s="47" t="s">
        <v>1362</v>
      </c>
      <c r="Q148" s="47" t="s">
        <v>63</v>
      </c>
      <c r="R148" s="48" t="s">
        <v>1363</v>
      </c>
      <c r="S148" s="47" t="s">
        <v>65</v>
      </c>
      <c r="T148" s="47"/>
      <c r="U148" s="47"/>
      <c r="V148" s="47" t="s">
        <v>66</v>
      </c>
      <c r="W148" s="47" t="s">
        <v>67</v>
      </c>
      <c r="X148" s="47" t="s">
        <v>68</v>
      </c>
      <c r="Y148" s="47" t="s">
        <v>501</v>
      </c>
      <c r="Z148" s="47" t="s">
        <v>1364</v>
      </c>
      <c r="AA148" s="47"/>
      <c r="AB148" s="47" t="s">
        <v>289</v>
      </c>
      <c r="AC148" s="47" t="s">
        <v>73</v>
      </c>
      <c r="AD148" s="47" t="s">
        <v>74</v>
      </c>
      <c r="AE148" s="49">
        <v>43199</v>
      </c>
      <c r="AF148" s="47" t="s">
        <v>123</v>
      </c>
      <c r="AG148" s="47"/>
      <c r="AH148" s="47" t="s">
        <v>2277</v>
      </c>
      <c r="AI148" s="47" t="s">
        <v>327</v>
      </c>
      <c r="AJ148" s="47" t="s">
        <v>1365</v>
      </c>
      <c r="AK148" s="47" t="s">
        <v>59</v>
      </c>
      <c r="AL148" s="47" t="s">
        <v>59</v>
      </c>
      <c r="AM148" s="47" t="s">
        <v>99</v>
      </c>
      <c r="AN148" s="47" t="s">
        <v>80</v>
      </c>
      <c r="AO148" s="47"/>
      <c r="AP148" s="47"/>
      <c r="AQ148" s="47" t="s">
        <v>81</v>
      </c>
      <c r="AR148" s="47"/>
      <c r="AS148" s="47" t="s">
        <v>82</v>
      </c>
      <c r="AT148" s="47" t="s">
        <v>291</v>
      </c>
      <c r="AU148" s="47" t="s">
        <v>83</v>
      </c>
      <c r="AV148" s="47" t="s">
        <v>61</v>
      </c>
      <c r="AW148" s="47" t="s">
        <v>1366</v>
      </c>
      <c r="AX148" s="47" t="s">
        <v>1367</v>
      </c>
      <c r="AY148" s="49">
        <v>44036</v>
      </c>
      <c r="AZ148" s="47" t="s">
        <v>83</v>
      </c>
      <c r="BA148" s="47"/>
      <c r="BB148" s="47" t="s">
        <v>2359</v>
      </c>
      <c r="BC148" s="47" t="s">
        <v>2542</v>
      </c>
      <c r="BD148" s="47">
        <v>524015444</v>
      </c>
      <c r="BE148" s="50">
        <v>5357</v>
      </c>
      <c r="BF148" s="53">
        <v>1317084</v>
      </c>
    </row>
    <row r="149" spans="1:58" s="51" customFormat="1" ht="23.4" hidden="1" x14ac:dyDescent="0.25">
      <c r="A149" s="46">
        <v>148</v>
      </c>
      <c r="B149" s="47">
        <v>6620</v>
      </c>
      <c r="C149" s="47">
        <v>904629</v>
      </c>
      <c r="D149" s="47" t="s">
        <v>1359</v>
      </c>
      <c r="E149" s="47" t="s">
        <v>1368</v>
      </c>
      <c r="F149" s="47" t="s">
        <v>55</v>
      </c>
      <c r="G149" s="47" t="str">
        <f>CONCATENATE(TRIM(الجدول2[[#This Row],[الاسم الأول]])," ",TRIM(الجدول2[[#This Row],[اسم الأب]])," ",TRIM(الجدول2[[#This Row],[الكنية]]))</f>
        <v>غنوة إبراهيم حسن</v>
      </c>
      <c r="H149" s="47" t="s">
        <v>1369</v>
      </c>
      <c r="I149" s="48" t="s">
        <v>1370</v>
      </c>
      <c r="J149" s="47" t="s">
        <v>58</v>
      </c>
      <c r="K149" s="47" t="s">
        <v>59</v>
      </c>
      <c r="L149" s="47" t="s">
        <v>59</v>
      </c>
      <c r="M149" s="47" t="s">
        <v>60</v>
      </c>
      <c r="N149" s="47" t="s">
        <v>59</v>
      </c>
      <c r="O149" s="49">
        <v>28686</v>
      </c>
      <c r="P149" s="47" t="s">
        <v>1371</v>
      </c>
      <c r="Q149" s="47" t="s">
        <v>179</v>
      </c>
      <c r="R149" s="48" t="s">
        <v>1372</v>
      </c>
      <c r="S149" s="47" t="s">
        <v>1077</v>
      </c>
      <c r="T149" s="47"/>
      <c r="U149" s="47">
        <v>2</v>
      </c>
      <c r="V149" s="47" t="s">
        <v>66</v>
      </c>
      <c r="W149" s="47" t="s">
        <v>67</v>
      </c>
      <c r="X149" s="47" t="s">
        <v>68</v>
      </c>
      <c r="Y149" s="47" t="s">
        <v>1373</v>
      </c>
      <c r="Z149" s="47"/>
      <c r="AA149" s="47"/>
      <c r="AB149" s="47" t="s">
        <v>1374</v>
      </c>
      <c r="AC149" s="47" t="s">
        <v>73</v>
      </c>
      <c r="AD149" s="47" t="s">
        <v>74</v>
      </c>
      <c r="AE149" s="49">
        <v>36949</v>
      </c>
      <c r="AF149" s="47" t="s">
        <v>123</v>
      </c>
      <c r="AG149" s="47"/>
      <c r="AH149" s="47" t="s">
        <v>2277</v>
      </c>
      <c r="AI149" s="47" t="s">
        <v>327</v>
      </c>
      <c r="AJ149" s="47" t="s">
        <v>1375</v>
      </c>
      <c r="AK149" s="47" t="s">
        <v>59</v>
      </c>
      <c r="AL149" s="47" t="s">
        <v>59</v>
      </c>
      <c r="AM149" s="47" t="s">
        <v>79</v>
      </c>
      <c r="AN149" s="47" t="s">
        <v>80</v>
      </c>
      <c r="AO149" s="47"/>
      <c r="AP149" s="47"/>
      <c r="AQ149" s="47" t="s">
        <v>81</v>
      </c>
      <c r="AR149" s="47"/>
      <c r="AS149" s="47" t="s">
        <v>82</v>
      </c>
      <c r="AT149" s="47" t="s">
        <v>327</v>
      </c>
      <c r="AU149" s="47" t="s">
        <v>83</v>
      </c>
      <c r="AV149" s="47" t="s">
        <v>425</v>
      </c>
      <c r="AW149" s="47" t="s">
        <v>624</v>
      </c>
      <c r="AX149" s="47" t="s">
        <v>1376</v>
      </c>
      <c r="AY149" s="49">
        <v>42793</v>
      </c>
      <c r="AZ149" s="47" t="s">
        <v>80</v>
      </c>
      <c r="BA149" s="47"/>
      <c r="BB149" s="47" t="s">
        <v>2359</v>
      </c>
      <c r="BC149" s="47" t="s">
        <v>2542</v>
      </c>
      <c r="BD149" s="47">
        <v>523084791</v>
      </c>
      <c r="BE149" s="50">
        <v>2061</v>
      </c>
      <c r="BF149" s="53">
        <v>1379310</v>
      </c>
    </row>
    <row r="150" spans="1:58" s="51" customFormat="1" ht="23.4" hidden="1" x14ac:dyDescent="0.25">
      <c r="A150" s="46">
        <v>149</v>
      </c>
      <c r="B150" s="47">
        <v>6636</v>
      </c>
      <c r="C150" s="47">
        <v>1306035</v>
      </c>
      <c r="D150" s="47" t="s">
        <v>1377</v>
      </c>
      <c r="E150" s="47" t="s">
        <v>115</v>
      </c>
      <c r="F150" s="47" t="s">
        <v>262</v>
      </c>
      <c r="G150" s="47" t="str">
        <f>CONCATENATE(TRIM(الجدول2[[#This Row],[الاسم الأول]])," ",TRIM(الجدول2[[#This Row],[اسم الأب]])," ",TRIM(الجدول2[[#This Row],[الكنية]]))</f>
        <v>غياث محمد شما</v>
      </c>
      <c r="H150" s="47" t="s">
        <v>1378</v>
      </c>
      <c r="I150" s="48" t="s">
        <v>1379</v>
      </c>
      <c r="J150" s="47" t="s">
        <v>58</v>
      </c>
      <c r="K150" s="47" t="s">
        <v>59</v>
      </c>
      <c r="L150" s="47" t="s">
        <v>59</v>
      </c>
      <c r="M150" s="47" t="s">
        <v>60</v>
      </c>
      <c r="N150" s="47" t="s">
        <v>59</v>
      </c>
      <c r="O150" s="49">
        <v>31229</v>
      </c>
      <c r="P150" s="47" t="s">
        <v>1380</v>
      </c>
      <c r="Q150" s="47" t="s">
        <v>63</v>
      </c>
      <c r="R150" s="48" t="s">
        <v>1381</v>
      </c>
      <c r="S150" s="47" t="s">
        <v>109</v>
      </c>
      <c r="T150" s="47">
        <v>1</v>
      </c>
      <c r="U150" s="47">
        <v>2</v>
      </c>
      <c r="V150" s="47" t="s">
        <v>66</v>
      </c>
      <c r="W150" s="47" t="s">
        <v>67</v>
      </c>
      <c r="X150" s="47" t="s">
        <v>68</v>
      </c>
      <c r="Y150" s="47" t="s">
        <v>1382</v>
      </c>
      <c r="Z150" s="47"/>
      <c r="AA150" s="47"/>
      <c r="AB150" s="47" t="s">
        <v>1383</v>
      </c>
      <c r="AC150" s="47" t="s">
        <v>73</v>
      </c>
      <c r="AD150" s="47" t="s">
        <v>74</v>
      </c>
      <c r="AE150" s="49">
        <v>40369</v>
      </c>
      <c r="AF150" s="47" t="s">
        <v>156</v>
      </c>
      <c r="AG150" s="47"/>
      <c r="AH150" s="47" t="s">
        <v>2277</v>
      </c>
      <c r="AI150" s="47" t="s">
        <v>327</v>
      </c>
      <c r="AJ150" s="47" t="s">
        <v>686</v>
      </c>
      <c r="AK150" s="47" t="s">
        <v>59</v>
      </c>
      <c r="AL150" s="47" t="s">
        <v>59</v>
      </c>
      <c r="AM150" s="47" t="s">
        <v>79</v>
      </c>
      <c r="AN150" s="47" t="s">
        <v>83</v>
      </c>
      <c r="AO150" s="47" t="s">
        <v>1384</v>
      </c>
      <c r="AP150" s="47" t="s">
        <v>1163</v>
      </c>
      <c r="AQ150" s="47" t="s">
        <v>81</v>
      </c>
      <c r="AR150" s="47"/>
      <c r="AS150" s="47" t="s">
        <v>142</v>
      </c>
      <c r="AT150" s="47" t="s">
        <v>327</v>
      </c>
      <c r="AU150" s="47" t="s">
        <v>83</v>
      </c>
      <c r="AV150" s="47" t="s">
        <v>425</v>
      </c>
      <c r="AW150" s="47" t="s">
        <v>711</v>
      </c>
      <c r="AX150" s="47" t="s">
        <v>787</v>
      </c>
      <c r="AY150" s="49">
        <v>39661</v>
      </c>
      <c r="AZ150" s="47" t="s">
        <v>80</v>
      </c>
      <c r="BA150" s="47"/>
      <c r="BB150" s="47" t="s">
        <v>2359</v>
      </c>
      <c r="BC150" s="47" t="s">
        <v>2542</v>
      </c>
      <c r="BD150" s="47">
        <v>523093898</v>
      </c>
      <c r="BE150" s="50">
        <v>2138</v>
      </c>
      <c r="BF150" s="53">
        <v>1372923</v>
      </c>
    </row>
    <row r="151" spans="1:58" s="51" customFormat="1" ht="23.4" hidden="1" x14ac:dyDescent="0.25">
      <c r="A151" s="46">
        <v>150</v>
      </c>
      <c r="B151" s="47">
        <v>6649</v>
      </c>
      <c r="C151" s="47">
        <v>1634074</v>
      </c>
      <c r="D151" s="47" t="s">
        <v>1385</v>
      </c>
      <c r="E151" s="47" t="s">
        <v>131</v>
      </c>
      <c r="F151" s="47" t="s">
        <v>1386</v>
      </c>
      <c r="G151" s="47" t="str">
        <f>CONCATENATE(TRIM(الجدول2[[#This Row],[الاسم الأول]])," ",TRIM(الجدول2[[#This Row],[اسم الأب]])," ",TRIM(الجدول2[[#This Row],[الكنية]]))</f>
        <v>غيثاء علي شدود</v>
      </c>
      <c r="H151" s="47" t="s">
        <v>1387</v>
      </c>
      <c r="I151" s="48" t="s">
        <v>1388</v>
      </c>
      <c r="J151" s="47" t="s">
        <v>58</v>
      </c>
      <c r="K151" s="47" t="s">
        <v>59</v>
      </c>
      <c r="L151" s="47" t="s">
        <v>164</v>
      </c>
      <c r="M151" s="47" t="s">
        <v>165</v>
      </c>
      <c r="N151" s="47" t="s">
        <v>59</v>
      </c>
      <c r="O151" s="49">
        <v>31382</v>
      </c>
      <c r="P151" s="47" t="s">
        <v>1389</v>
      </c>
      <c r="Q151" s="47" t="s">
        <v>179</v>
      </c>
      <c r="R151" s="48" t="s">
        <v>1390</v>
      </c>
      <c r="S151" s="47" t="s">
        <v>109</v>
      </c>
      <c r="T151" s="47"/>
      <c r="U151" s="47">
        <v>2</v>
      </c>
      <c r="V151" s="47" t="s">
        <v>66</v>
      </c>
      <c r="W151" s="47" t="s">
        <v>67</v>
      </c>
      <c r="X151" s="47" t="s">
        <v>68</v>
      </c>
      <c r="Y151" s="47" t="s">
        <v>137</v>
      </c>
      <c r="Z151" s="47"/>
      <c r="AA151" s="47"/>
      <c r="AB151" s="47" t="s">
        <v>289</v>
      </c>
      <c r="AC151" s="47" t="s">
        <v>73</v>
      </c>
      <c r="AD151" s="47" t="s">
        <v>74</v>
      </c>
      <c r="AE151" s="49">
        <v>40860</v>
      </c>
      <c r="AF151" s="47" t="s">
        <v>123</v>
      </c>
      <c r="AG151" s="47"/>
      <c r="AH151" s="47" t="s">
        <v>2277</v>
      </c>
      <c r="AI151" s="47" t="s">
        <v>327</v>
      </c>
      <c r="AJ151" s="47" t="s">
        <v>686</v>
      </c>
      <c r="AK151" s="47" t="s">
        <v>59</v>
      </c>
      <c r="AL151" s="47" t="s">
        <v>164</v>
      </c>
      <c r="AM151" s="47" t="s">
        <v>99</v>
      </c>
      <c r="AN151" s="47" t="s">
        <v>83</v>
      </c>
      <c r="AO151" s="47" t="s">
        <v>1391</v>
      </c>
      <c r="AP151" s="47" t="s">
        <v>1392</v>
      </c>
      <c r="AQ151" s="47" t="s">
        <v>81</v>
      </c>
      <c r="AR151" s="47"/>
      <c r="AS151" s="47" t="s">
        <v>173</v>
      </c>
      <c r="AT151" s="47" t="s">
        <v>327</v>
      </c>
      <c r="AU151" s="47" t="s">
        <v>83</v>
      </c>
      <c r="AV151" s="47" t="s">
        <v>61</v>
      </c>
      <c r="AW151" s="47" t="s">
        <v>1393</v>
      </c>
      <c r="AX151" s="47" t="s">
        <v>686</v>
      </c>
      <c r="AY151" s="49">
        <v>39630</v>
      </c>
      <c r="AZ151" s="47" t="s">
        <v>80</v>
      </c>
      <c r="BA151" s="47" t="s">
        <v>761</v>
      </c>
      <c r="BB151" s="47" t="s">
        <v>2358</v>
      </c>
      <c r="BC151" s="47" t="s">
        <v>2542</v>
      </c>
      <c r="BD151" s="47">
        <v>528141593</v>
      </c>
      <c r="BE151" s="50">
        <v>22940</v>
      </c>
      <c r="BF151" s="53">
        <v>1354293</v>
      </c>
    </row>
    <row r="152" spans="1:58" s="51" customFormat="1" ht="23.4" hidden="1" x14ac:dyDescent="0.25">
      <c r="A152" s="46">
        <v>151</v>
      </c>
      <c r="B152" s="47">
        <v>6685</v>
      </c>
      <c r="C152" s="47"/>
      <c r="D152" s="47" t="s">
        <v>1394</v>
      </c>
      <c r="E152" s="47" t="s">
        <v>1395</v>
      </c>
      <c r="F152" s="47" t="s">
        <v>1396</v>
      </c>
      <c r="G152" s="47" t="str">
        <f>CONCATENATE(TRIM(الجدول2[[#This Row],[الاسم الأول]])," ",TRIM(الجدول2[[#This Row],[اسم الأب]])," ",TRIM(الجدول2[[#This Row],[الكنية]]))</f>
        <v>فاتنة عماد اليوسف</v>
      </c>
      <c r="H152" s="47" t="s">
        <v>1397</v>
      </c>
      <c r="I152" s="48" t="s">
        <v>1398</v>
      </c>
      <c r="J152" s="47" t="s">
        <v>58</v>
      </c>
      <c r="K152" s="47" t="s">
        <v>61</v>
      </c>
      <c r="L152" s="47" t="s">
        <v>61</v>
      </c>
      <c r="M152" s="47" t="s">
        <v>61</v>
      </c>
      <c r="N152" s="47" t="s">
        <v>1399</v>
      </c>
      <c r="O152" s="49">
        <v>33658</v>
      </c>
      <c r="P152" s="47" t="s">
        <v>1400</v>
      </c>
      <c r="Q152" s="47" t="s">
        <v>179</v>
      </c>
      <c r="R152" s="48" t="s">
        <v>1401</v>
      </c>
      <c r="S152" s="47" t="s">
        <v>109</v>
      </c>
      <c r="T152" s="47"/>
      <c r="U152" s="47">
        <v>2</v>
      </c>
      <c r="V152" s="47" t="s">
        <v>66</v>
      </c>
      <c r="W152" s="47" t="s">
        <v>67</v>
      </c>
      <c r="X152" s="47" t="s">
        <v>68</v>
      </c>
      <c r="Y152" s="47" t="s">
        <v>137</v>
      </c>
      <c r="Z152" s="47"/>
      <c r="AA152" s="47"/>
      <c r="AB152" s="47" t="s">
        <v>642</v>
      </c>
      <c r="AC152" s="47" t="s">
        <v>155</v>
      </c>
      <c r="AD152" s="47" t="s">
        <v>74</v>
      </c>
      <c r="AE152" s="49">
        <v>44056</v>
      </c>
      <c r="AF152" s="47" t="s">
        <v>123</v>
      </c>
      <c r="AG152" s="47"/>
      <c r="AH152" s="47" t="s">
        <v>157</v>
      </c>
      <c r="AI152" s="47" t="s">
        <v>143</v>
      </c>
      <c r="AJ152" s="47"/>
      <c r="AK152" s="47" t="s">
        <v>59</v>
      </c>
      <c r="AL152" s="47" t="s">
        <v>78</v>
      </c>
      <c r="AM152" s="47" t="s">
        <v>79</v>
      </c>
      <c r="AN152" s="47" t="s">
        <v>80</v>
      </c>
      <c r="AO152" s="47"/>
      <c r="AP152" s="47"/>
      <c r="AQ152" s="47" t="s">
        <v>81</v>
      </c>
      <c r="AR152" s="47"/>
      <c r="AS152" s="47" t="s">
        <v>173</v>
      </c>
      <c r="AT152" s="47" t="s">
        <v>143</v>
      </c>
      <c r="AU152" s="47" t="s">
        <v>83</v>
      </c>
      <c r="AV152" s="47"/>
      <c r="AW152" s="47"/>
      <c r="AX152" s="47"/>
      <c r="AY152" s="49">
        <v>39292</v>
      </c>
      <c r="AZ152" s="47" t="s">
        <v>80</v>
      </c>
      <c r="BA152" s="47" t="s">
        <v>1402</v>
      </c>
      <c r="BB152" s="47" t="s">
        <v>2358</v>
      </c>
      <c r="BC152" s="47" t="s">
        <v>2542</v>
      </c>
      <c r="BD152" s="47">
        <v>527438007</v>
      </c>
      <c r="BE152" s="50">
        <v>19696</v>
      </c>
      <c r="BF152" s="53">
        <v>994128</v>
      </c>
    </row>
    <row r="153" spans="1:58" s="51" customFormat="1" ht="23.4" hidden="1" x14ac:dyDescent="0.25">
      <c r="A153" s="46">
        <v>152</v>
      </c>
      <c r="B153" s="47">
        <v>6701</v>
      </c>
      <c r="C153" s="47">
        <v>1422118</v>
      </c>
      <c r="D153" s="47" t="s">
        <v>1403</v>
      </c>
      <c r="E153" s="47" t="s">
        <v>1404</v>
      </c>
      <c r="F153" s="47" t="s">
        <v>515</v>
      </c>
      <c r="G153" s="47" t="str">
        <f>CONCATENATE(TRIM(الجدول2[[#This Row],[الاسم الأول]])," ",TRIM(الجدول2[[#This Row],[اسم الأب]])," ",TRIM(الجدول2[[#This Row],[الكنية]]))</f>
        <v>فادي جبر حمود</v>
      </c>
      <c r="H153" s="47" t="s">
        <v>1405</v>
      </c>
      <c r="I153" s="48" t="s">
        <v>1406</v>
      </c>
      <c r="J153" s="47" t="s">
        <v>58</v>
      </c>
      <c r="K153" s="47" t="s">
        <v>61</v>
      </c>
      <c r="L153" s="47" t="s">
        <v>61</v>
      </c>
      <c r="M153" s="47" t="s">
        <v>61</v>
      </c>
      <c r="N153" s="47" t="s">
        <v>61</v>
      </c>
      <c r="O153" s="49">
        <v>30046</v>
      </c>
      <c r="P153" s="47" t="s">
        <v>1407</v>
      </c>
      <c r="Q153" s="47" t="s">
        <v>63</v>
      </c>
      <c r="R153" s="48" t="s">
        <v>1408</v>
      </c>
      <c r="S153" s="47" t="s">
        <v>109</v>
      </c>
      <c r="T153" s="47">
        <v>1</v>
      </c>
      <c r="U153" s="47">
        <v>2</v>
      </c>
      <c r="V153" s="47" t="s">
        <v>66</v>
      </c>
      <c r="W153" s="47" t="s">
        <v>67</v>
      </c>
      <c r="X153" s="47" t="s">
        <v>68</v>
      </c>
      <c r="Y153" s="47" t="s">
        <v>94</v>
      </c>
      <c r="Z153" s="47" t="s">
        <v>221</v>
      </c>
      <c r="AA153" s="47" t="s">
        <v>633</v>
      </c>
      <c r="AB153" s="47" t="s">
        <v>642</v>
      </c>
      <c r="AC153" s="47" t="s">
        <v>73</v>
      </c>
      <c r="AD153" s="47" t="s">
        <v>74</v>
      </c>
      <c r="AE153" s="49">
        <v>36669</v>
      </c>
      <c r="AF153" s="47" t="s">
        <v>139</v>
      </c>
      <c r="AG153" s="47"/>
      <c r="AH153" s="47" t="s">
        <v>140</v>
      </c>
      <c r="AI153" s="47" t="s">
        <v>143</v>
      </c>
      <c r="AJ153" s="47"/>
      <c r="AK153" s="47" t="s">
        <v>59</v>
      </c>
      <c r="AL153" s="47" t="s">
        <v>90</v>
      </c>
      <c r="AM153" s="47" t="s">
        <v>99</v>
      </c>
      <c r="AN153" s="47" t="s">
        <v>80</v>
      </c>
      <c r="AO153" s="47"/>
      <c r="AP153" s="47"/>
      <c r="AQ153" s="47" t="s">
        <v>81</v>
      </c>
      <c r="AR153" s="47"/>
      <c r="AS153" s="47" t="s">
        <v>173</v>
      </c>
      <c r="AT153" s="47" t="s">
        <v>143</v>
      </c>
      <c r="AU153" s="47" t="s">
        <v>80</v>
      </c>
      <c r="AV153" s="47"/>
      <c r="AW153" s="47"/>
      <c r="AX153" s="47"/>
      <c r="AY153" s="49">
        <v>34907</v>
      </c>
      <c r="AZ153" s="47" t="s">
        <v>80</v>
      </c>
      <c r="BA153" s="47"/>
      <c r="BB153" s="47" t="s">
        <v>2359</v>
      </c>
      <c r="BC153" s="47" t="s">
        <v>2542</v>
      </c>
      <c r="BD153" s="47">
        <v>526067744</v>
      </c>
      <c r="BE153" s="50">
        <v>10441</v>
      </c>
      <c r="BF153" s="53">
        <v>1098000</v>
      </c>
    </row>
    <row r="154" spans="1:58" s="51" customFormat="1" ht="23.4" hidden="1" x14ac:dyDescent="0.25">
      <c r="A154" s="46">
        <v>153</v>
      </c>
      <c r="B154" s="47">
        <v>6791</v>
      </c>
      <c r="C154" s="47">
        <v>1051042</v>
      </c>
      <c r="D154" s="47" t="s">
        <v>1409</v>
      </c>
      <c r="E154" s="47" t="s">
        <v>584</v>
      </c>
      <c r="F154" s="47" t="s">
        <v>1410</v>
      </c>
      <c r="G154" s="47" t="str">
        <f>CONCATENATE(TRIM(الجدول2[[#This Row],[الاسم الأول]])," ",TRIM(الجدول2[[#This Row],[اسم الأب]])," ",TRIM(الجدول2[[#This Row],[الكنية]]))</f>
        <v>فاضل جمال حنوش</v>
      </c>
      <c r="H154" s="47" t="s">
        <v>1411</v>
      </c>
      <c r="I154" s="48" t="s">
        <v>1412</v>
      </c>
      <c r="J154" s="47" t="s">
        <v>58</v>
      </c>
      <c r="K154" s="47" t="s">
        <v>59</v>
      </c>
      <c r="L154" s="47" t="s">
        <v>164</v>
      </c>
      <c r="M154" s="47" t="s">
        <v>621</v>
      </c>
      <c r="N154" s="47" t="s">
        <v>1413</v>
      </c>
      <c r="O154" s="49">
        <v>27533</v>
      </c>
      <c r="P154" s="47" t="s">
        <v>1414</v>
      </c>
      <c r="Q154" s="47" t="s">
        <v>63</v>
      </c>
      <c r="R154" s="48" t="s">
        <v>1415</v>
      </c>
      <c r="S154" s="47" t="s">
        <v>65</v>
      </c>
      <c r="T154" s="47"/>
      <c r="U154" s="47"/>
      <c r="V154" s="47" t="s">
        <v>66</v>
      </c>
      <c r="W154" s="47" t="s">
        <v>67</v>
      </c>
      <c r="X154" s="47" t="s">
        <v>68</v>
      </c>
      <c r="Y154" s="47" t="s">
        <v>137</v>
      </c>
      <c r="Z154" s="47"/>
      <c r="AA154" s="47"/>
      <c r="AB154" s="47" t="s">
        <v>1416</v>
      </c>
      <c r="AC154" s="47" t="s">
        <v>73</v>
      </c>
      <c r="AD154" s="47" t="s">
        <v>74</v>
      </c>
      <c r="AE154" s="49">
        <v>38218</v>
      </c>
      <c r="AF154" s="47" t="s">
        <v>75</v>
      </c>
      <c r="AG154" s="47"/>
      <c r="AH154" s="47" t="s">
        <v>2277</v>
      </c>
      <c r="AI154" s="47" t="s">
        <v>76</v>
      </c>
      <c r="AJ154" s="47" t="s">
        <v>1417</v>
      </c>
      <c r="AK154" s="47" t="s">
        <v>59</v>
      </c>
      <c r="AL154" s="47" t="s">
        <v>164</v>
      </c>
      <c r="AM154" s="47" t="s">
        <v>99</v>
      </c>
      <c r="AN154" s="47" t="s">
        <v>80</v>
      </c>
      <c r="AO154" s="47"/>
      <c r="AP154" s="47"/>
      <c r="AQ154" s="47" t="s">
        <v>81</v>
      </c>
      <c r="AR154" s="47"/>
      <c r="AS154" s="47" t="s">
        <v>82</v>
      </c>
      <c r="AT154" s="47" t="s">
        <v>76</v>
      </c>
      <c r="AU154" s="47" t="s">
        <v>83</v>
      </c>
      <c r="AV154" s="47" t="s">
        <v>790</v>
      </c>
      <c r="AW154" s="47" t="s">
        <v>1418</v>
      </c>
      <c r="AX154" s="47" t="s">
        <v>1419</v>
      </c>
      <c r="AY154" s="49">
        <v>37438</v>
      </c>
      <c r="AZ154" s="47" t="s">
        <v>80</v>
      </c>
      <c r="BA154" s="47" t="s">
        <v>1420</v>
      </c>
      <c r="BB154" s="47" t="s">
        <v>2358</v>
      </c>
      <c r="BC154" s="47" t="s">
        <v>2542</v>
      </c>
      <c r="BD154" s="47">
        <v>528153705</v>
      </c>
      <c r="BE154" s="50">
        <v>23090</v>
      </c>
      <c r="BF154" s="53">
        <v>1345209</v>
      </c>
    </row>
    <row r="155" spans="1:58" s="51" customFormat="1" ht="23.4" hidden="1" x14ac:dyDescent="0.25">
      <c r="A155" s="46">
        <v>154</v>
      </c>
      <c r="B155" s="47">
        <v>6913</v>
      </c>
      <c r="C155" s="47"/>
      <c r="D155" s="47" t="s">
        <v>1421</v>
      </c>
      <c r="E155" s="47" t="s">
        <v>228</v>
      </c>
      <c r="F155" s="47" t="s">
        <v>334</v>
      </c>
      <c r="G155" s="47" t="str">
        <f>CONCATENATE(TRIM(الجدول2[[#This Row],[الاسم الأول]])," ",TRIM(الجدول2[[#This Row],[اسم الأب]])," ",TRIM(الجدول2[[#This Row],[الكنية]]))</f>
        <v>فدوى محمود سلمان</v>
      </c>
      <c r="H155" s="47" t="s">
        <v>1422</v>
      </c>
      <c r="I155" s="48" t="s">
        <v>1423</v>
      </c>
      <c r="J155" s="47" t="s">
        <v>58</v>
      </c>
      <c r="K155" s="47" t="s">
        <v>59</v>
      </c>
      <c r="L155" s="47" t="s">
        <v>59</v>
      </c>
      <c r="M155" s="47" t="s">
        <v>60</v>
      </c>
      <c r="N155" s="47" t="s">
        <v>1424</v>
      </c>
      <c r="O155" s="49">
        <v>25918</v>
      </c>
      <c r="P155" s="47" t="s">
        <v>1425</v>
      </c>
      <c r="Q155" s="47" t="s">
        <v>179</v>
      </c>
      <c r="R155" s="48" t="s">
        <v>1426</v>
      </c>
      <c r="S155" s="47" t="s">
        <v>109</v>
      </c>
      <c r="T155" s="47"/>
      <c r="U155" s="47">
        <v>3</v>
      </c>
      <c r="V155" s="47" t="s">
        <v>66</v>
      </c>
      <c r="W155" s="47" t="s">
        <v>67</v>
      </c>
      <c r="X155" s="47" t="s">
        <v>68</v>
      </c>
      <c r="Y155" s="47" t="s">
        <v>1427</v>
      </c>
      <c r="Z155" s="47"/>
      <c r="AA155" s="47"/>
      <c r="AB155" s="47" t="s">
        <v>197</v>
      </c>
      <c r="AC155" s="47" t="s">
        <v>73</v>
      </c>
      <c r="AD155" s="47" t="s">
        <v>74</v>
      </c>
      <c r="AE155" s="49">
        <v>35324</v>
      </c>
      <c r="AF155" s="47" t="s">
        <v>75</v>
      </c>
      <c r="AG155" s="47"/>
      <c r="AH155" s="47" t="s">
        <v>2277</v>
      </c>
      <c r="AI155" s="47" t="s">
        <v>76</v>
      </c>
      <c r="AJ155" s="47" t="s">
        <v>1428</v>
      </c>
      <c r="AK155" s="47" t="s">
        <v>59</v>
      </c>
      <c r="AL155" s="47" t="s">
        <v>59</v>
      </c>
      <c r="AM155" s="47" t="s">
        <v>99</v>
      </c>
      <c r="AN155" s="47" t="s">
        <v>80</v>
      </c>
      <c r="AO155" s="47"/>
      <c r="AP155" s="47"/>
      <c r="AQ155" s="47" t="s">
        <v>81</v>
      </c>
      <c r="AR155" s="47"/>
      <c r="AS155" s="47" t="s">
        <v>173</v>
      </c>
      <c r="AT155" s="47" t="s">
        <v>76</v>
      </c>
      <c r="AU155" s="47" t="s">
        <v>83</v>
      </c>
      <c r="AV155" s="47" t="s">
        <v>61</v>
      </c>
      <c r="AW155" s="47" t="s">
        <v>277</v>
      </c>
      <c r="AX155" s="47" t="s">
        <v>604</v>
      </c>
      <c r="AY155" s="49">
        <v>35065</v>
      </c>
      <c r="AZ155" s="47" t="s">
        <v>80</v>
      </c>
      <c r="BA155" s="47"/>
      <c r="BB155" s="47" t="s">
        <v>2359</v>
      </c>
      <c r="BC155" s="47" t="s">
        <v>2542</v>
      </c>
      <c r="BD155" s="47">
        <v>526586112</v>
      </c>
      <c r="BE155" s="50">
        <v>13748</v>
      </c>
      <c r="BF155" s="53">
        <v>1409000</v>
      </c>
    </row>
    <row r="156" spans="1:58" s="51" customFormat="1" ht="23.4" hidden="1" x14ac:dyDescent="0.25">
      <c r="A156" s="46">
        <v>155</v>
      </c>
      <c r="B156" s="47">
        <v>6930</v>
      </c>
      <c r="C156" s="47">
        <v>1639576</v>
      </c>
      <c r="D156" s="47" t="s">
        <v>1429</v>
      </c>
      <c r="E156" s="47" t="s">
        <v>1430</v>
      </c>
      <c r="F156" s="47" t="s">
        <v>1431</v>
      </c>
      <c r="G156" s="47" t="str">
        <f>CONCATENATE(TRIM(الجدول2[[#This Row],[الاسم الأول]])," ",TRIM(الجدول2[[#This Row],[اسم الأب]])," ",TRIM(الجدول2[[#This Row],[الكنية]]))</f>
        <v>فراس عادل سقور</v>
      </c>
      <c r="H156" s="47" t="s">
        <v>1432</v>
      </c>
      <c r="I156" s="48" t="s">
        <v>1433</v>
      </c>
      <c r="J156" s="47" t="s">
        <v>58</v>
      </c>
      <c r="K156" s="47" t="s">
        <v>59</v>
      </c>
      <c r="L156" s="47" t="s">
        <v>59</v>
      </c>
      <c r="M156" s="47" t="s">
        <v>60</v>
      </c>
      <c r="N156" s="47" t="s">
        <v>61</v>
      </c>
      <c r="O156" s="49">
        <v>32265</v>
      </c>
      <c r="P156" s="47" t="s">
        <v>1434</v>
      </c>
      <c r="Q156" s="47" t="s">
        <v>63</v>
      </c>
      <c r="R156" s="48" t="s">
        <v>1435</v>
      </c>
      <c r="S156" s="47" t="s">
        <v>109</v>
      </c>
      <c r="T156" s="47">
        <v>1</v>
      </c>
      <c r="U156" s="47">
        <v>1</v>
      </c>
      <c r="V156" s="47" t="s">
        <v>66</v>
      </c>
      <c r="W156" s="47" t="s">
        <v>67</v>
      </c>
      <c r="X156" s="47" t="s">
        <v>68</v>
      </c>
      <c r="Y156" s="47" t="s">
        <v>94</v>
      </c>
      <c r="Z156" s="47"/>
      <c r="AA156" s="47"/>
      <c r="AB156" s="47" t="s">
        <v>1436</v>
      </c>
      <c r="AC156" s="47" t="s">
        <v>155</v>
      </c>
      <c r="AD156" s="47" t="s">
        <v>74</v>
      </c>
      <c r="AE156" s="49">
        <v>44454</v>
      </c>
      <c r="AF156" s="47" t="s">
        <v>1437</v>
      </c>
      <c r="AG156" s="47"/>
      <c r="AH156" s="47" t="s">
        <v>124</v>
      </c>
      <c r="AI156" s="47" t="s">
        <v>182</v>
      </c>
      <c r="AJ156" s="47" t="s">
        <v>1438</v>
      </c>
      <c r="AK156" s="47" t="s">
        <v>59</v>
      </c>
      <c r="AL156" s="47" t="s">
        <v>59</v>
      </c>
      <c r="AM156" s="47" t="s">
        <v>99</v>
      </c>
      <c r="AN156" s="47" t="s">
        <v>83</v>
      </c>
      <c r="AO156" s="47" t="s">
        <v>1439</v>
      </c>
      <c r="AP156" s="47" t="s">
        <v>1440</v>
      </c>
      <c r="AQ156" s="47" t="s">
        <v>81</v>
      </c>
      <c r="AR156" s="47"/>
      <c r="AS156" s="47" t="s">
        <v>173</v>
      </c>
      <c r="AT156" s="47" t="s">
        <v>182</v>
      </c>
      <c r="AU156" s="47" t="s">
        <v>83</v>
      </c>
      <c r="AV156" s="47" t="s">
        <v>184</v>
      </c>
      <c r="AW156" s="47" t="s">
        <v>1441</v>
      </c>
      <c r="AX156" s="47" t="s">
        <v>1438</v>
      </c>
      <c r="AY156" s="49">
        <v>39304</v>
      </c>
      <c r="AZ156" s="47" t="s">
        <v>80</v>
      </c>
      <c r="BA156" s="47"/>
      <c r="BB156" s="47" t="s">
        <v>2359</v>
      </c>
      <c r="BC156" s="47" t="s">
        <v>2542</v>
      </c>
      <c r="BD156" s="47">
        <v>536048416</v>
      </c>
      <c r="BE156" s="50">
        <v>32129</v>
      </c>
      <c r="BF156" s="53">
        <v>986154</v>
      </c>
    </row>
    <row r="157" spans="1:58" s="51" customFormat="1" ht="23.4" hidden="1" x14ac:dyDescent="0.25">
      <c r="A157" s="64">
        <v>156</v>
      </c>
      <c r="B157" s="14">
        <v>6989</v>
      </c>
      <c r="C157" s="14">
        <v>572460</v>
      </c>
      <c r="D157" s="14" t="s">
        <v>1442</v>
      </c>
      <c r="E157" s="14" t="s">
        <v>131</v>
      </c>
      <c r="F157" s="14" t="s">
        <v>810</v>
      </c>
      <c r="G157" s="14" t="str">
        <f>CONCATENATE(TRIM(الجدول2[[#This Row],[الاسم الأول]])," ",TRIM(الجدول2[[#This Row],[اسم الأب]])," ",TRIM(الجدول2[[#This Row],[الكنية]]))</f>
        <v>فريال علي ديب</v>
      </c>
      <c r="H157" s="14" t="s">
        <v>1443</v>
      </c>
      <c r="I157" s="15" t="s">
        <v>1444</v>
      </c>
      <c r="J157" s="14" t="s">
        <v>58</v>
      </c>
      <c r="K157" s="14" t="s">
        <v>59</v>
      </c>
      <c r="L157" s="14" t="s">
        <v>59</v>
      </c>
      <c r="M157" s="14" t="s">
        <v>406</v>
      </c>
      <c r="N157" s="14" t="s">
        <v>61</v>
      </c>
      <c r="O157" s="16">
        <v>24005</v>
      </c>
      <c r="P157" s="14" t="s">
        <v>1445</v>
      </c>
      <c r="Q157" s="14" t="s">
        <v>179</v>
      </c>
      <c r="R157" s="15" t="s">
        <v>1446</v>
      </c>
      <c r="S157" s="14" t="s">
        <v>109</v>
      </c>
      <c r="T157" s="14"/>
      <c r="U157" s="14">
        <v>1</v>
      </c>
      <c r="V157" s="14" t="s">
        <v>66</v>
      </c>
      <c r="W157" s="14" t="s">
        <v>67</v>
      </c>
      <c r="X157" s="14" t="s">
        <v>68</v>
      </c>
      <c r="Y157" s="14" t="s">
        <v>94</v>
      </c>
      <c r="Z157" s="14" t="s">
        <v>221</v>
      </c>
      <c r="AA157" s="14" t="s">
        <v>1447</v>
      </c>
      <c r="AB157" s="14" t="s">
        <v>473</v>
      </c>
      <c r="AC157" s="14" t="s">
        <v>73</v>
      </c>
      <c r="AD157" s="14" t="s">
        <v>1448</v>
      </c>
      <c r="AE157" s="16">
        <v>32641</v>
      </c>
      <c r="AF157" s="14" t="s">
        <v>123</v>
      </c>
      <c r="AG157" s="14"/>
      <c r="AH157" s="14" t="s">
        <v>124</v>
      </c>
      <c r="AI157" s="14" t="s">
        <v>125</v>
      </c>
      <c r="AJ157" s="14"/>
      <c r="AK157" s="14" t="s">
        <v>59</v>
      </c>
      <c r="AL157" s="14" t="s">
        <v>59</v>
      </c>
      <c r="AM157" s="14" t="s">
        <v>99</v>
      </c>
      <c r="AN157" s="14" t="s">
        <v>80</v>
      </c>
      <c r="AO157" s="14"/>
      <c r="AP157" s="14"/>
      <c r="AQ157" s="14" t="s">
        <v>81</v>
      </c>
      <c r="AR157" s="14"/>
      <c r="AS157" s="14" t="s">
        <v>173</v>
      </c>
      <c r="AT157" s="14" t="s">
        <v>128</v>
      </c>
      <c r="AU157" s="14" t="s">
        <v>83</v>
      </c>
      <c r="AV157" s="14"/>
      <c r="AW157" s="14"/>
      <c r="AX157" s="14" t="s">
        <v>80</v>
      </c>
      <c r="AY157" s="16">
        <v>31617</v>
      </c>
      <c r="AZ157" s="14" t="s">
        <v>80</v>
      </c>
      <c r="BA157" s="14"/>
      <c r="BB157" s="33" t="s">
        <v>2533</v>
      </c>
      <c r="BC157" s="33" t="s">
        <v>2533</v>
      </c>
      <c r="BD157" s="14">
        <v>524057943</v>
      </c>
      <c r="BE157" s="99">
        <v>5735</v>
      </c>
      <c r="BF157" s="65">
        <v>1243000</v>
      </c>
    </row>
    <row r="158" spans="1:58" s="51" customFormat="1" ht="23.4" hidden="1" x14ac:dyDescent="0.25">
      <c r="A158" s="46">
        <v>157</v>
      </c>
      <c r="B158" s="47">
        <v>7086</v>
      </c>
      <c r="C158" s="47"/>
      <c r="D158" s="47" t="s">
        <v>54</v>
      </c>
      <c r="E158" s="47" t="s">
        <v>228</v>
      </c>
      <c r="F158" s="47" t="s">
        <v>116</v>
      </c>
      <c r="G158" s="47" t="str">
        <f>CONCATENATE(TRIM(الجدول2[[#This Row],[الاسم الأول]])," ",TRIM(الجدول2[[#This Row],[اسم الأب]])," ",TRIM(الجدول2[[#This Row],[الكنية]]))</f>
        <v>فؤاد محمود يوسف</v>
      </c>
      <c r="H158" s="47" t="s">
        <v>1449</v>
      </c>
      <c r="I158" s="48" t="s">
        <v>1450</v>
      </c>
      <c r="J158" s="47" t="s">
        <v>58</v>
      </c>
      <c r="K158" s="47" t="s">
        <v>59</v>
      </c>
      <c r="L158" s="47" t="s">
        <v>59</v>
      </c>
      <c r="M158" s="47" t="s">
        <v>60</v>
      </c>
      <c r="N158" s="47" t="s">
        <v>638</v>
      </c>
      <c r="O158" s="49">
        <v>29624</v>
      </c>
      <c r="P158" s="47" t="s">
        <v>1451</v>
      </c>
      <c r="Q158" s="47" t="s">
        <v>63</v>
      </c>
      <c r="R158" s="48" t="s">
        <v>1452</v>
      </c>
      <c r="S158" s="47" t="s">
        <v>109</v>
      </c>
      <c r="T158" s="47">
        <v>1</v>
      </c>
      <c r="U158" s="47">
        <v>0</v>
      </c>
      <c r="V158" s="47" t="s">
        <v>66</v>
      </c>
      <c r="W158" s="47" t="s">
        <v>67</v>
      </c>
      <c r="X158" s="47" t="s">
        <v>68</v>
      </c>
      <c r="Y158" s="47" t="s">
        <v>94</v>
      </c>
      <c r="Z158" s="47" t="s">
        <v>221</v>
      </c>
      <c r="AA158" s="47"/>
      <c r="AB158" s="47" t="s">
        <v>1453</v>
      </c>
      <c r="AC158" s="47" t="s">
        <v>155</v>
      </c>
      <c r="AD158" s="47" t="s">
        <v>74</v>
      </c>
      <c r="AE158" s="49">
        <v>44334</v>
      </c>
      <c r="AF158" s="47" t="s">
        <v>123</v>
      </c>
      <c r="AG158" s="47"/>
      <c r="AH158" s="47" t="s">
        <v>2277</v>
      </c>
      <c r="AI158" s="47" t="s">
        <v>327</v>
      </c>
      <c r="AJ158" s="47" t="s">
        <v>1454</v>
      </c>
      <c r="AK158" s="47" t="s">
        <v>59</v>
      </c>
      <c r="AL158" s="47" t="s">
        <v>59</v>
      </c>
      <c r="AM158" s="47" t="s">
        <v>99</v>
      </c>
      <c r="AN158" s="47" t="s">
        <v>80</v>
      </c>
      <c r="AO158" s="47"/>
      <c r="AP158" s="47"/>
      <c r="AQ158" s="47" t="s">
        <v>81</v>
      </c>
      <c r="AR158" s="47"/>
      <c r="AS158" s="47" t="s">
        <v>173</v>
      </c>
      <c r="AT158" s="47" t="s">
        <v>327</v>
      </c>
      <c r="AU158" s="47" t="s">
        <v>83</v>
      </c>
      <c r="AV158" s="47" t="s">
        <v>425</v>
      </c>
      <c r="AW158" s="47" t="s">
        <v>1455</v>
      </c>
      <c r="AX158" s="47" t="s">
        <v>1454</v>
      </c>
      <c r="AY158" s="49">
        <v>39304</v>
      </c>
      <c r="AZ158" s="47" t="s">
        <v>80</v>
      </c>
      <c r="BA158" s="47"/>
      <c r="BB158" s="47" t="s">
        <v>2359</v>
      </c>
      <c r="BC158" s="47" t="s">
        <v>2542</v>
      </c>
      <c r="BD158" s="47">
        <v>536047912</v>
      </c>
      <c r="BE158" s="50">
        <v>32128</v>
      </c>
      <c r="BF158" s="53">
        <v>1110357</v>
      </c>
    </row>
    <row r="159" spans="1:58" s="51" customFormat="1" ht="23.4" hidden="1" x14ac:dyDescent="0.25">
      <c r="A159" s="46">
        <v>158</v>
      </c>
      <c r="B159" s="47">
        <v>7162</v>
      </c>
      <c r="C159" s="47">
        <v>1634003</v>
      </c>
      <c r="D159" s="47" t="s">
        <v>1456</v>
      </c>
      <c r="E159" s="47" t="s">
        <v>252</v>
      </c>
      <c r="F159" s="47" t="s">
        <v>1457</v>
      </c>
      <c r="G159" s="47" t="str">
        <f>CONCATENATE(TRIM(الجدول2[[#This Row],[الاسم الأول]])," ",TRIM(الجدول2[[#This Row],[اسم الأب]])," ",TRIM(الجدول2[[#This Row],[الكنية]]))</f>
        <v>قصي امين الجندي</v>
      </c>
      <c r="H159" s="47" t="s">
        <v>1458</v>
      </c>
      <c r="I159" s="48" t="s">
        <v>1459</v>
      </c>
      <c r="J159" s="47" t="s">
        <v>58</v>
      </c>
      <c r="K159" s="47" t="s">
        <v>59</v>
      </c>
      <c r="L159" s="47" t="s">
        <v>59</v>
      </c>
      <c r="M159" s="47" t="s">
        <v>206</v>
      </c>
      <c r="N159" s="47" t="s">
        <v>1460</v>
      </c>
      <c r="O159" s="49">
        <v>32510</v>
      </c>
      <c r="P159" s="47" t="s">
        <v>1461</v>
      </c>
      <c r="Q159" s="47" t="s">
        <v>63</v>
      </c>
      <c r="R159" s="48"/>
      <c r="S159" s="47" t="s">
        <v>109</v>
      </c>
      <c r="T159" s="47">
        <v>1</v>
      </c>
      <c r="U159" s="47">
        <v>1</v>
      </c>
      <c r="V159" s="47" t="s">
        <v>66</v>
      </c>
      <c r="W159" s="47" t="s">
        <v>67</v>
      </c>
      <c r="X159" s="47" t="s">
        <v>68</v>
      </c>
      <c r="Y159" s="47" t="s">
        <v>137</v>
      </c>
      <c r="Z159" s="47"/>
      <c r="AA159" s="47"/>
      <c r="AB159" s="47" t="s">
        <v>491</v>
      </c>
      <c r="AC159" s="47" t="s">
        <v>73</v>
      </c>
      <c r="AD159" s="47" t="s">
        <v>74</v>
      </c>
      <c r="AE159" s="49">
        <v>41334</v>
      </c>
      <c r="AF159" s="47" t="s">
        <v>123</v>
      </c>
      <c r="AG159" s="47"/>
      <c r="AH159" s="47" t="s">
        <v>1007</v>
      </c>
      <c r="AI159" s="47" t="s">
        <v>143</v>
      </c>
      <c r="AJ159" s="47"/>
      <c r="AK159" s="47" t="s">
        <v>59</v>
      </c>
      <c r="AL159" s="47" t="s">
        <v>59</v>
      </c>
      <c r="AM159" s="47" t="s">
        <v>99</v>
      </c>
      <c r="AN159" s="47" t="s">
        <v>80</v>
      </c>
      <c r="AO159" s="47"/>
      <c r="AP159" s="47"/>
      <c r="AQ159" s="47" t="s">
        <v>81</v>
      </c>
      <c r="AR159" s="47"/>
      <c r="AS159" s="47" t="s">
        <v>173</v>
      </c>
      <c r="AT159" s="47" t="s">
        <v>143</v>
      </c>
      <c r="AU159" s="47" t="s">
        <v>83</v>
      </c>
      <c r="AV159" s="47"/>
      <c r="AW159" s="47"/>
      <c r="AX159" s="47"/>
      <c r="AY159" s="49">
        <v>38169</v>
      </c>
      <c r="AZ159" s="47" t="s">
        <v>80</v>
      </c>
      <c r="BA159" s="47" t="s">
        <v>1462</v>
      </c>
      <c r="BB159" s="47" t="s">
        <v>2358</v>
      </c>
      <c r="BC159" s="47" t="s">
        <v>2542</v>
      </c>
      <c r="BD159" s="47">
        <v>528171547</v>
      </c>
      <c r="BE159" s="50">
        <v>23257</v>
      </c>
      <c r="BF159" s="53">
        <v>1185000</v>
      </c>
    </row>
    <row r="160" spans="1:58" s="51" customFormat="1" ht="23.4" hidden="1" x14ac:dyDescent="0.25">
      <c r="A160" s="46">
        <v>159</v>
      </c>
      <c r="B160" s="47">
        <v>7188</v>
      </c>
      <c r="C160" s="47">
        <v>917707</v>
      </c>
      <c r="D160" s="47" t="s">
        <v>1463</v>
      </c>
      <c r="E160" s="47" t="s">
        <v>115</v>
      </c>
      <c r="F160" s="47" t="s">
        <v>131</v>
      </c>
      <c r="G160" s="47" t="str">
        <f>CONCATENATE(TRIM(الجدول2[[#This Row],[الاسم الأول]])," ",TRIM(الجدول2[[#This Row],[اسم الأب]])," ",TRIM(الجدول2[[#This Row],[الكنية]]))</f>
        <v>كاترين محمد علي</v>
      </c>
      <c r="H160" s="47" t="s">
        <v>1464</v>
      </c>
      <c r="I160" s="48" t="s">
        <v>1465</v>
      </c>
      <c r="J160" s="47" t="s">
        <v>58</v>
      </c>
      <c r="K160" s="47" t="s">
        <v>59</v>
      </c>
      <c r="L160" s="47" t="s">
        <v>90</v>
      </c>
      <c r="M160" s="47" t="s">
        <v>298</v>
      </c>
      <c r="N160" s="47" t="s">
        <v>1466</v>
      </c>
      <c r="O160" s="49">
        <v>27748</v>
      </c>
      <c r="P160" s="47" t="s">
        <v>1467</v>
      </c>
      <c r="Q160" s="47" t="s">
        <v>179</v>
      </c>
      <c r="R160" s="48" t="s">
        <v>1468</v>
      </c>
      <c r="S160" s="47" t="s">
        <v>109</v>
      </c>
      <c r="T160" s="47"/>
      <c r="U160" s="47">
        <v>2</v>
      </c>
      <c r="V160" s="47" t="s">
        <v>66</v>
      </c>
      <c r="W160" s="47" t="s">
        <v>67</v>
      </c>
      <c r="X160" s="47" t="s">
        <v>68</v>
      </c>
      <c r="Y160" s="47" t="s">
        <v>137</v>
      </c>
      <c r="Z160" s="47"/>
      <c r="AA160" s="47"/>
      <c r="AB160" s="47" t="s">
        <v>590</v>
      </c>
      <c r="AC160" s="47" t="s">
        <v>73</v>
      </c>
      <c r="AD160" s="47" t="s">
        <v>74</v>
      </c>
      <c r="AE160" s="49">
        <v>35509</v>
      </c>
      <c r="AF160" s="47" t="s">
        <v>123</v>
      </c>
      <c r="AG160" s="47"/>
      <c r="AH160" s="47" t="s">
        <v>124</v>
      </c>
      <c r="AI160" s="47" t="s">
        <v>125</v>
      </c>
      <c r="AJ160" s="47"/>
      <c r="AK160" s="47" t="s">
        <v>59</v>
      </c>
      <c r="AL160" s="47" t="s">
        <v>90</v>
      </c>
      <c r="AM160" s="47" t="s">
        <v>99</v>
      </c>
      <c r="AN160" s="47" t="s">
        <v>80</v>
      </c>
      <c r="AO160" s="47"/>
      <c r="AP160" s="47"/>
      <c r="AQ160" s="47" t="s">
        <v>81</v>
      </c>
      <c r="AR160" s="47"/>
      <c r="AS160" s="47" t="s">
        <v>173</v>
      </c>
      <c r="AT160" s="47" t="s">
        <v>128</v>
      </c>
      <c r="AU160" s="47" t="s">
        <v>83</v>
      </c>
      <c r="AV160" s="47"/>
      <c r="AW160" s="47"/>
      <c r="AX160" s="47" t="s">
        <v>355</v>
      </c>
      <c r="AY160" s="49">
        <v>33786</v>
      </c>
      <c r="AZ160" s="47" t="s">
        <v>80</v>
      </c>
      <c r="BA160" s="47" t="s">
        <v>1469</v>
      </c>
      <c r="BB160" s="47" t="s">
        <v>2358</v>
      </c>
      <c r="BC160" s="47" t="s">
        <v>2542</v>
      </c>
      <c r="BD160" s="47">
        <v>528039702</v>
      </c>
      <c r="BE160" s="50">
        <v>21637</v>
      </c>
      <c r="BF160" s="53">
        <v>1243000</v>
      </c>
    </row>
    <row r="161" spans="1:58" s="51" customFormat="1" ht="23.4" hidden="1" x14ac:dyDescent="0.25">
      <c r="A161" s="46">
        <v>160</v>
      </c>
      <c r="B161" s="47">
        <v>7190</v>
      </c>
      <c r="C161" s="47">
        <v>498934</v>
      </c>
      <c r="D161" s="47" t="s">
        <v>1470</v>
      </c>
      <c r="E161" s="47" t="s">
        <v>901</v>
      </c>
      <c r="F161" s="47" t="s">
        <v>506</v>
      </c>
      <c r="G161" s="47" t="str">
        <f>CONCATENATE(TRIM(الجدول2[[#This Row],[الاسم الأول]])," ",TRIM(الجدول2[[#This Row],[اسم الأب]])," ",TRIM(الجدول2[[#This Row],[الكنية]]))</f>
        <v>كارلا جرجس عيسى</v>
      </c>
      <c r="H161" s="47" t="s">
        <v>1471</v>
      </c>
      <c r="I161" s="48" t="s">
        <v>1472</v>
      </c>
      <c r="J161" s="47" t="s">
        <v>58</v>
      </c>
      <c r="K161" s="47" t="s">
        <v>59</v>
      </c>
      <c r="L161" s="47" t="s">
        <v>164</v>
      </c>
      <c r="M161" s="47" t="s">
        <v>1473</v>
      </c>
      <c r="N161" s="47" t="s">
        <v>1474</v>
      </c>
      <c r="O161" s="49">
        <v>33748</v>
      </c>
      <c r="P161" s="47" t="s">
        <v>1475</v>
      </c>
      <c r="Q161" s="47" t="s">
        <v>179</v>
      </c>
      <c r="R161" s="48" t="s">
        <v>1476</v>
      </c>
      <c r="S161" s="47" t="s">
        <v>109</v>
      </c>
      <c r="T161" s="47"/>
      <c r="U161" s="47">
        <v>1</v>
      </c>
      <c r="V161" s="47" t="s">
        <v>66</v>
      </c>
      <c r="W161" s="47" t="s">
        <v>67</v>
      </c>
      <c r="X161" s="47" t="s">
        <v>68</v>
      </c>
      <c r="Y161" s="47" t="s">
        <v>137</v>
      </c>
      <c r="Z161" s="47"/>
      <c r="AA161" s="47"/>
      <c r="AB161" s="47" t="s">
        <v>197</v>
      </c>
      <c r="AC161" s="47" t="s">
        <v>73</v>
      </c>
      <c r="AD161" s="47" t="s">
        <v>74</v>
      </c>
      <c r="AE161" s="49">
        <v>43818</v>
      </c>
      <c r="AF161" s="47" t="s">
        <v>75</v>
      </c>
      <c r="AG161" s="47"/>
      <c r="AH161" s="47" t="s">
        <v>2277</v>
      </c>
      <c r="AI161" s="47" t="s">
        <v>76</v>
      </c>
      <c r="AJ161" s="47" t="s">
        <v>1477</v>
      </c>
      <c r="AK161" s="47" t="s">
        <v>59</v>
      </c>
      <c r="AL161" s="47" t="s">
        <v>164</v>
      </c>
      <c r="AM161" s="47" t="s">
        <v>158</v>
      </c>
      <c r="AN161" s="47" t="s">
        <v>80</v>
      </c>
      <c r="AO161" s="47"/>
      <c r="AP161" s="47"/>
      <c r="AQ161" s="47" t="s">
        <v>81</v>
      </c>
      <c r="AR161" s="47"/>
      <c r="AS161" s="47" t="s">
        <v>82</v>
      </c>
      <c r="AT161" s="47" t="s">
        <v>76</v>
      </c>
      <c r="AU161" s="47" t="s">
        <v>83</v>
      </c>
      <c r="AV161" s="47" t="s">
        <v>184</v>
      </c>
      <c r="AW161" s="47" t="s">
        <v>277</v>
      </c>
      <c r="AX161" s="47" t="s">
        <v>1478</v>
      </c>
      <c r="AY161" s="49">
        <v>42979</v>
      </c>
      <c r="AZ161" s="47" t="s">
        <v>80</v>
      </c>
      <c r="BA161" s="47" t="s">
        <v>1479</v>
      </c>
      <c r="BB161" s="47" t="s">
        <v>2358</v>
      </c>
      <c r="BC161" s="47" t="s">
        <v>2542</v>
      </c>
      <c r="BD161" s="47">
        <v>526693133</v>
      </c>
      <c r="BE161" s="50">
        <v>14892</v>
      </c>
      <c r="BF161" s="53">
        <v>1124100</v>
      </c>
    </row>
    <row r="162" spans="1:58" s="51" customFormat="1" ht="23.4" hidden="1" x14ac:dyDescent="0.25">
      <c r="A162" s="46">
        <v>161</v>
      </c>
      <c r="B162" s="47">
        <v>7284</v>
      </c>
      <c r="C162" s="47">
        <v>1634810</v>
      </c>
      <c r="D162" s="47" t="s">
        <v>1480</v>
      </c>
      <c r="E162" s="47" t="s">
        <v>506</v>
      </c>
      <c r="F162" s="47" t="s">
        <v>1481</v>
      </c>
      <c r="G162" s="47" t="str">
        <f>CONCATENATE(TRIM(الجدول2[[#This Row],[الاسم الأول]])," ",TRIM(الجدول2[[#This Row],[اسم الأب]])," ",TRIM(الجدول2[[#This Row],[الكنية]]))</f>
        <v>لارا عيسى بشير</v>
      </c>
      <c r="H162" s="47" t="s">
        <v>1482</v>
      </c>
      <c r="I162" s="48" t="s">
        <v>1483</v>
      </c>
      <c r="J162" s="47" t="s">
        <v>58</v>
      </c>
      <c r="K162" s="47" t="s">
        <v>59</v>
      </c>
      <c r="L162" s="47" t="s">
        <v>59</v>
      </c>
      <c r="M162" s="47" t="s">
        <v>60</v>
      </c>
      <c r="N162" s="47" t="s">
        <v>59</v>
      </c>
      <c r="O162" s="49">
        <v>33222</v>
      </c>
      <c r="P162" s="47" t="s">
        <v>1484</v>
      </c>
      <c r="Q162" s="47" t="s">
        <v>179</v>
      </c>
      <c r="R162" s="48" t="s">
        <v>1485</v>
      </c>
      <c r="S162" s="47" t="s">
        <v>109</v>
      </c>
      <c r="T162" s="47"/>
      <c r="U162" s="47">
        <v>3</v>
      </c>
      <c r="V162" s="47" t="s">
        <v>66</v>
      </c>
      <c r="W162" s="47" t="s">
        <v>67</v>
      </c>
      <c r="X162" s="47" t="s">
        <v>68</v>
      </c>
      <c r="Y162" s="47" t="s">
        <v>94</v>
      </c>
      <c r="Z162" s="47" t="s">
        <v>221</v>
      </c>
      <c r="AA162" s="47" t="s">
        <v>633</v>
      </c>
      <c r="AB162" s="47" t="s">
        <v>491</v>
      </c>
      <c r="AC162" s="47" t="s">
        <v>73</v>
      </c>
      <c r="AD162" s="47" t="s">
        <v>74</v>
      </c>
      <c r="AE162" s="49">
        <v>41295</v>
      </c>
      <c r="AF162" s="47" t="s">
        <v>123</v>
      </c>
      <c r="AG162" s="47"/>
      <c r="AH162" s="47" t="s">
        <v>124</v>
      </c>
      <c r="AI162" s="47" t="s">
        <v>182</v>
      </c>
      <c r="AJ162" s="47" t="s">
        <v>1486</v>
      </c>
      <c r="AK162" s="47" t="s">
        <v>59</v>
      </c>
      <c r="AL162" s="47" t="s">
        <v>59</v>
      </c>
      <c r="AM162" s="47" t="s">
        <v>79</v>
      </c>
      <c r="AN162" s="47" t="s">
        <v>80</v>
      </c>
      <c r="AO162" s="47"/>
      <c r="AP162" s="47"/>
      <c r="AQ162" s="47" t="s">
        <v>81</v>
      </c>
      <c r="AR162" s="47"/>
      <c r="AS162" s="47" t="s">
        <v>82</v>
      </c>
      <c r="AT162" s="47" t="s">
        <v>182</v>
      </c>
      <c r="AU162" s="47" t="s">
        <v>83</v>
      </c>
      <c r="AV162" s="47" t="s">
        <v>268</v>
      </c>
      <c r="AW162" s="47" t="s">
        <v>1487</v>
      </c>
      <c r="AX162" s="47" t="s">
        <v>1486</v>
      </c>
      <c r="AY162" s="49">
        <v>40381</v>
      </c>
      <c r="AZ162" s="47" t="s">
        <v>80</v>
      </c>
      <c r="BA162" s="47"/>
      <c r="BB162" s="47" t="s">
        <v>2359</v>
      </c>
      <c r="BC162" s="47" t="s">
        <v>2542</v>
      </c>
      <c r="BD162" s="47">
        <v>526071846</v>
      </c>
      <c r="BE162" s="50">
        <v>10509</v>
      </c>
      <c r="BF162" s="53">
        <v>1243000</v>
      </c>
    </row>
    <row r="163" spans="1:58" s="51" customFormat="1" ht="23.4" hidden="1" x14ac:dyDescent="0.25">
      <c r="A163" s="46">
        <v>162</v>
      </c>
      <c r="B163" s="47">
        <v>7296</v>
      </c>
      <c r="C163" s="47"/>
      <c r="D163" s="47" t="s">
        <v>1488</v>
      </c>
      <c r="E163" s="47" t="s">
        <v>411</v>
      </c>
      <c r="F163" s="47" t="s">
        <v>1489</v>
      </c>
      <c r="G163" s="47" t="str">
        <f>CONCATENATE(TRIM(الجدول2[[#This Row],[الاسم الأول]])," ",TRIM(الجدول2[[#This Row],[اسم الأب]])," ",TRIM(الجدول2[[#This Row],[الكنية]]))</f>
        <v>لبنه سليمان صافتلي</v>
      </c>
      <c r="H163" s="47" t="s">
        <v>1490</v>
      </c>
      <c r="I163" s="48" t="s">
        <v>1491</v>
      </c>
      <c r="J163" s="47" t="s">
        <v>58</v>
      </c>
      <c r="K163" s="47" t="s">
        <v>59</v>
      </c>
      <c r="L163" s="47" t="s">
        <v>164</v>
      </c>
      <c r="M163" s="47" t="s">
        <v>165</v>
      </c>
      <c r="N163" s="47" t="s">
        <v>59</v>
      </c>
      <c r="O163" s="49">
        <v>31789</v>
      </c>
      <c r="P163" s="47" t="s">
        <v>1492</v>
      </c>
      <c r="Q163" s="47" t="s">
        <v>179</v>
      </c>
      <c r="R163" s="48" t="s">
        <v>1493</v>
      </c>
      <c r="S163" s="47" t="s">
        <v>109</v>
      </c>
      <c r="T163" s="47"/>
      <c r="U163" s="47">
        <v>3</v>
      </c>
      <c r="V163" s="47" t="s">
        <v>66</v>
      </c>
      <c r="W163" s="47" t="s">
        <v>67</v>
      </c>
      <c r="X163" s="47" t="s">
        <v>68</v>
      </c>
      <c r="Y163" s="47" t="s">
        <v>210</v>
      </c>
      <c r="Z163" s="47" t="s">
        <v>1494</v>
      </c>
      <c r="AA163" s="47" t="s">
        <v>522</v>
      </c>
      <c r="AB163" s="47" t="s">
        <v>491</v>
      </c>
      <c r="AC163" s="47" t="s">
        <v>73</v>
      </c>
      <c r="AD163" s="47" t="s">
        <v>74</v>
      </c>
      <c r="AE163" s="49">
        <v>40862</v>
      </c>
      <c r="AF163" s="47" t="s">
        <v>123</v>
      </c>
      <c r="AG163" s="47"/>
      <c r="AH163" s="47" t="s">
        <v>124</v>
      </c>
      <c r="AI163" s="47" t="s">
        <v>182</v>
      </c>
      <c r="AJ163" s="47" t="s">
        <v>1495</v>
      </c>
      <c r="AK163" s="47" t="s">
        <v>59</v>
      </c>
      <c r="AL163" s="47" t="s">
        <v>59</v>
      </c>
      <c r="AM163" s="47" t="s">
        <v>79</v>
      </c>
      <c r="AN163" s="47" t="s">
        <v>80</v>
      </c>
      <c r="AO163" s="47"/>
      <c r="AP163" s="47"/>
      <c r="AQ163" s="47" t="s">
        <v>81</v>
      </c>
      <c r="AR163" s="47"/>
      <c r="AS163" s="47" t="s">
        <v>82</v>
      </c>
      <c r="AT163" s="47" t="s">
        <v>182</v>
      </c>
      <c r="AU163" s="47" t="s">
        <v>83</v>
      </c>
      <c r="AV163" s="47" t="s">
        <v>59</v>
      </c>
      <c r="AW163" s="47" t="s">
        <v>1079</v>
      </c>
      <c r="AX163" s="47" t="s">
        <v>1078</v>
      </c>
      <c r="AY163" s="49">
        <v>40382</v>
      </c>
      <c r="AZ163" s="47" t="s">
        <v>80</v>
      </c>
      <c r="BA163" s="47"/>
      <c r="BB163" s="47" t="s">
        <v>2359</v>
      </c>
      <c r="BC163" s="47" t="s">
        <v>2542</v>
      </c>
      <c r="BD163" s="47">
        <v>523221735</v>
      </c>
      <c r="BE163" s="50">
        <v>3260</v>
      </c>
      <c r="BF163" s="53">
        <v>1243000</v>
      </c>
    </row>
    <row r="164" spans="1:58" s="51" customFormat="1" ht="23.4" hidden="1" x14ac:dyDescent="0.25">
      <c r="A164" s="46">
        <v>163</v>
      </c>
      <c r="B164" s="47">
        <v>7297</v>
      </c>
      <c r="C164" s="47">
        <v>1634510</v>
      </c>
      <c r="D164" s="47" t="s">
        <v>1496</v>
      </c>
      <c r="E164" s="47" t="s">
        <v>55</v>
      </c>
      <c r="F164" s="47" t="s">
        <v>55</v>
      </c>
      <c r="G164" s="47" t="str">
        <f>CONCATENATE(TRIM(الجدول2[[#This Row],[الاسم الأول]])," ",TRIM(الجدول2[[#This Row],[اسم الأب]])," ",TRIM(الجدول2[[#This Row],[الكنية]]))</f>
        <v>لبنى حسن حسن</v>
      </c>
      <c r="H164" s="47" t="s">
        <v>1497</v>
      </c>
      <c r="I164" s="48" t="s">
        <v>1498</v>
      </c>
      <c r="J164" s="47" t="s">
        <v>58</v>
      </c>
      <c r="K164" s="47" t="s">
        <v>184</v>
      </c>
      <c r="L164" s="47" t="s">
        <v>958</v>
      </c>
      <c r="M164" s="47" t="s">
        <v>1499</v>
      </c>
      <c r="N164" s="47" t="s">
        <v>958</v>
      </c>
      <c r="O164" s="49">
        <v>36113</v>
      </c>
      <c r="P164" s="47" t="s">
        <v>1500</v>
      </c>
      <c r="Q164" s="47" t="s">
        <v>179</v>
      </c>
      <c r="R164" s="48" t="s">
        <v>1501</v>
      </c>
      <c r="S164" s="47" t="s">
        <v>109</v>
      </c>
      <c r="T164" s="47"/>
      <c r="U164" s="47">
        <v>0</v>
      </c>
      <c r="V164" s="47" t="s">
        <v>66</v>
      </c>
      <c r="W164" s="47" t="s">
        <v>67</v>
      </c>
      <c r="X164" s="47" t="s">
        <v>68</v>
      </c>
      <c r="Y164" s="47" t="s">
        <v>94</v>
      </c>
      <c r="Z164" s="47" t="s">
        <v>95</v>
      </c>
      <c r="AA164" s="47" t="s">
        <v>96</v>
      </c>
      <c r="AB164" s="47" t="s">
        <v>97</v>
      </c>
      <c r="AC164" s="47" t="s">
        <v>73</v>
      </c>
      <c r="AD164" s="47" t="s">
        <v>74</v>
      </c>
      <c r="AE164" s="49">
        <v>45522</v>
      </c>
      <c r="AF164" s="47" t="s">
        <v>75</v>
      </c>
      <c r="AG164" s="47"/>
      <c r="AH164" s="47" t="s">
        <v>2277</v>
      </c>
      <c r="AI164" s="47" t="s">
        <v>76</v>
      </c>
      <c r="AJ164" s="47" t="s">
        <v>842</v>
      </c>
      <c r="AK164" s="47" t="s">
        <v>59</v>
      </c>
      <c r="AL164" s="47" t="s">
        <v>164</v>
      </c>
      <c r="AM164" s="47" t="s">
        <v>99</v>
      </c>
      <c r="AN164" s="47" t="s">
        <v>80</v>
      </c>
      <c r="AO164" s="47"/>
      <c r="AP164" s="47"/>
      <c r="AQ164" s="47" t="s">
        <v>81</v>
      </c>
      <c r="AR164" s="47"/>
      <c r="AS164" s="47" t="s">
        <v>368</v>
      </c>
      <c r="AT164" s="47" t="s">
        <v>76</v>
      </c>
      <c r="AU164" s="47" t="s">
        <v>83</v>
      </c>
      <c r="AV164" s="47" t="s">
        <v>84</v>
      </c>
      <c r="AW164" s="47" t="s">
        <v>842</v>
      </c>
      <c r="AX164" s="47" t="s">
        <v>1502</v>
      </c>
      <c r="AY164" s="49">
        <v>44573</v>
      </c>
      <c r="AZ164" s="47" t="s">
        <v>80</v>
      </c>
      <c r="BA164" s="47"/>
      <c r="BB164" s="47" t="s">
        <v>2359</v>
      </c>
      <c r="BC164" s="47" t="s">
        <v>2542</v>
      </c>
      <c r="BD164" s="47">
        <v>522385901</v>
      </c>
      <c r="BE164" s="50">
        <v>1006</v>
      </c>
      <c r="BF164" s="53">
        <v>943000</v>
      </c>
    </row>
    <row r="165" spans="1:58" s="51" customFormat="1" ht="23.4" hidden="1" x14ac:dyDescent="0.25">
      <c r="A165" s="46">
        <v>164</v>
      </c>
      <c r="B165" s="47">
        <v>7319</v>
      </c>
      <c r="C165" s="47"/>
      <c r="D165" s="47" t="s">
        <v>1503</v>
      </c>
      <c r="E165" s="47" t="s">
        <v>369</v>
      </c>
      <c r="F165" s="47" t="s">
        <v>131</v>
      </c>
      <c r="G165" s="47" t="str">
        <f>CONCATENATE(TRIM(الجدول2[[#This Row],[الاسم الأول]])," ",TRIM(الجدول2[[#This Row],[اسم الأب]])," ",TRIM(الجدول2[[#This Row],[الكنية]]))</f>
        <v>لما عبدالكريم علي</v>
      </c>
      <c r="H165" s="47" t="s">
        <v>1504</v>
      </c>
      <c r="I165" s="48" t="s">
        <v>1505</v>
      </c>
      <c r="J165" s="47" t="s">
        <v>58</v>
      </c>
      <c r="K165" s="47" t="s">
        <v>59</v>
      </c>
      <c r="L165" s="47" t="s">
        <v>164</v>
      </c>
      <c r="M165" s="47" t="s">
        <v>165</v>
      </c>
      <c r="N165" s="47" t="s">
        <v>164</v>
      </c>
      <c r="O165" s="49">
        <v>30229</v>
      </c>
      <c r="P165" s="47" t="s">
        <v>1506</v>
      </c>
      <c r="Q165" s="47" t="s">
        <v>179</v>
      </c>
      <c r="R165" s="48" t="s">
        <v>1507</v>
      </c>
      <c r="S165" s="47" t="s">
        <v>109</v>
      </c>
      <c r="T165" s="47"/>
      <c r="U165" s="47">
        <v>1</v>
      </c>
      <c r="V165" s="47" t="s">
        <v>66</v>
      </c>
      <c r="W165" s="47" t="s">
        <v>67</v>
      </c>
      <c r="X165" s="47" t="s">
        <v>68</v>
      </c>
      <c r="Y165" s="47" t="s">
        <v>246</v>
      </c>
      <c r="Z165" s="47" t="s">
        <v>840</v>
      </c>
      <c r="AA165" s="47" t="s">
        <v>879</v>
      </c>
      <c r="AB165" s="47" t="s">
        <v>880</v>
      </c>
      <c r="AC165" s="47" t="s">
        <v>73</v>
      </c>
      <c r="AD165" s="47" t="s">
        <v>74</v>
      </c>
      <c r="AE165" s="49">
        <v>40860</v>
      </c>
      <c r="AF165" s="47" t="s">
        <v>123</v>
      </c>
      <c r="AG165" s="47"/>
      <c r="AH165" s="47" t="s">
        <v>124</v>
      </c>
      <c r="AI165" s="47" t="s">
        <v>182</v>
      </c>
      <c r="AJ165" s="47" t="s">
        <v>1508</v>
      </c>
      <c r="AK165" s="47" t="s">
        <v>59</v>
      </c>
      <c r="AL165" s="47" t="s">
        <v>59</v>
      </c>
      <c r="AM165" s="47" t="s">
        <v>99</v>
      </c>
      <c r="AN165" s="47" t="s">
        <v>83</v>
      </c>
      <c r="AO165" s="47" t="s">
        <v>1509</v>
      </c>
      <c r="AP165" s="47" t="s">
        <v>1510</v>
      </c>
      <c r="AQ165" s="47" t="s">
        <v>81</v>
      </c>
      <c r="AR165" s="47"/>
      <c r="AS165" s="47" t="s">
        <v>173</v>
      </c>
      <c r="AT165" s="47" t="s">
        <v>182</v>
      </c>
      <c r="AU165" s="47" t="s">
        <v>83</v>
      </c>
      <c r="AV165" s="47" t="s">
        <v>425</v>
      </c>
      <c r="AW165" s="47" t="s">
        <v>182</v>
      </c>
      <c r="AX165" s="47" t="s">
        <v>1511</v>
      </c>
      <c r="AY165" s="49">
        <v>38179</v>
      </c>
      <c r="AZ165" s="47" t="s">
        <v>80</v>
      </c>
      <c r="BA165" s="47"/>
      <c r="BB165" s="47" t="s">
        <v>2359</v>
      </c>
      <c r="BC165" s="47" t="s">
        <v>2542</v>
      </c>
      <c r="BD165" s="47">
        <v>526576611</v>
      </c>
      <c r="BE165" s="50">
        <v>13608</v>
      </c>
      <c r="BF165" s="53">
        <v>1243000</v>
      </c>
    </row>
    <row r="166" spans="1:58" s="51" customFormat="1" ht="23.4" hidden="1" x14ac:dyDescent="0.25">
      <c r="A166" s="46">
        <v>165</v>
      </c>
      <c r="B166" s="47">
        <v>7371</v>
      </c>
      <c r="C166" s="47">
        <v>1632640</v>
      </c>
      <c r="D166" s="47" t="s">
        <v>1512</v>
      </c>
      <c r="E166" s="47" t="s">
        <v>1513</v>
      </c>
      <c r="F166" s="47" t="s">
        <v>53</v>
      </c>
      <c r="G166" s="47" t="str">
        <f>CONCATENATE(TRIM(الجدول2[[#This Row],[الاسم الأول]])," ",TRIM(الجدول2[[#This Row],[اسم الأب]])," ",TRIM(الجدول2[[#This Row],[الكنية]]))</f>
        <v>لؤي سعيد ابراهيم</v>
      </c>
      <c r="H166" s="47" t="s">
        <v>1514</v>
      </c>
      <c r="I166" s="48" t="s">
        <v>1515</v>
      </c>
      <c r="J166" s="47" t="s">
        <v>58</v>
      </c>
      <c r="K166" s="47" t="s">
        <v>59</v>
      </c>
      <c r="L166" s="47" t="s">
        <v>164</v>
      </c>
      <c r="M166" s="47" t="s">
        <v>165</v>
      </c>
      <c r="N166" s="47" t="s">
        <v>59</v>
      </c>
      <c r="O166" s="49">
        <v>30086</v>
      </c>
      <c r="P166" s="47" t="s">
        <v>1516</v>
      </c>
      <c r="Q166" s="47" t="s">
        <v>63</v>
      </c>
      <c r="R166" s="48" t="s">
        <v>1517</v>
      </c>
      <c r="S166" s="47" t="s">
        <v>109</v>
      </c>
      <c r="T166" s="47">
        <v>1</v>
      </c>
      <c r="U166" s="47">
        <v>2</v>
      </c>
      <c r="V166" s="47" t="s">
        <v>66</v>
      </c>
      <c r="W166" s="47" t="s">
        <v>67</v>
      </c>
      <c r="X166" s="47" t="s">
        <v>68</v>
      </c>
      <c r="Y166" s="47" t="s">
        <v>137</v>
      </c>
      <c r="Z166" s="47"/>
      <c r="AA166" s="47"/>
      <c r="AB166" s="47" t="s">
        <v>491</v>
      </c>
      <c r="AC166" s="47" t="s">
        <v>73</v>
      </c>
      <c r="AD166" s="47" t="s">
        <v>74</v>
      </c>
      <c r="AE166" s="49">
        <v>41247</v>
      </c>
      <c r="AF166" s="47" t="s">
        <v>123</v>
      </c>
      <c r="AG166" s="47"/>
      <c r="AH166" s="47" t="s">
        <v>2277</v>
      </c>
      <c r="AI166" s="47" t="s">
        <v>327</v>
      </c>
      <c r="AJ166" s="47" t="s">
        <v>686</v>
      </c>
      <c r="AK166" s="47" t="s">
        <v>59</v>
      </c>
      <c r="AL166" s="47" t="s">
        <v>164</v>
      </c>
      <c r="AM166" s="47" t="s">
        <v>99</v>
      </c>
      <c r="AN166" s="47" t="s">
        <v>83</v>
      </c>
      <c r="AO166" s="47" t="s">
        <v>1518</v>
      </c>
      <c r="AP166" s="47" t="s">
        <v>1519</v>
      </c>
      <c r="AQ166" s="47" t="s">
        <v>81</v>
      </c>
      <c r="AR166" s="47"/>
      <c r="AS166" s="47" t="s">
        <v>82</v>
      </c>
      <c r="AT166" s="47" t="s">
        <v>327</v>
      </c>
      <c r="AU166" s="47" t="s">
        <v>83</v>
      </c>
      <c r="AV166" s="47" t="s">
        <v>61</v>
      </c>
      <c r="AW166" s="47" t="s">
        <v>686</v>
      </c>
      <c r="AX166" s="47" t="s">
        <v>787</v>
      </c>
      <c r="AY166" s="49">
        <v>39293</v>
      </c>
      <c r="AZ166" s="47" t="s">
        <v>80</v>
      </c>
      <c r="BA166" s="47" t="s">
        <v>1520</v>
      </c>
      <c r="BB166" s="47" t="s">
        <v>2358</v>
      </c>
      <c r="BC166" s="47" t="s">
        <v>2542</v>
      </c>
      <c r="BD166" s="47">
        <v>528094288</v>
      </c>
      <c r="BE166" s="50">
        <v>22285</v>
      </c>
      <c r="BF166" s="53">
        <v>1350945</v>
      </c>
    </row>
    <row r="167" spans="1:58" s="51" customFormat="1" ht="23.4" hidden="1" x14ac:dyDescent="0.25">
      <c r="A167" s="46">
        <v>166</v>
      </c>
      <c r="B167" s="47">
        <v>7384</v>
      </c>
      <c r="C167" s="47">
        <v>1634835</v>
      </c>
      <c r="D167" s="47" t="s">
        <v>1521</v>
      </c>
      <c r="E167" s="47" t="s">
        <v>411</v>
      </c>
      <c r="F167" s="47" t="s">
        <v>55</v>
      </c>
      <c r="G167" s="47" t="str">
        <f>CONCATENATE(TRIM(الجدول2[[#This Row],[الاسم الأول]])," ",TRIM(الجدول2[[#This Row],[اسم الأب]])," ",TRIM(الجدول2[[#This Row],[الكنية]]))</f>
        <v>ليدا سليمان حسن</v>
      </c>
      <c r="H167" s="47" t="s">
        <v>1522</v>
      </c>
      <c r="I167" s="48" t="s">
        <v>1523</v>
      </c>
      <c r="J167" s="47" t="s">
        <v>58</v>
      </c>
      <c r="K167" s="47" t="s">
        <v>59</v>
      </c>
      <c r="L167" s="47" t="s">
        <v>59</v>
      </c>
      <c r="M167" s="47" t="s">
        <v>60</v>
      </c>
      <c r="N167" s="47" t="s">
        <v>1524</v>
      </c>
      <c r="O167" s="49">
        <v>33627</v>
      </c>
      <c r="P167" s="47" t="s">
        <v>1525</v>
      </c>
      <c r="Q167" s="47" t="s">
        <v>179</v>
      </c>
      <c r="R167" s="48" t="s">
        <v>1526</v>
      </c>
      <c r="S167" s="47" t="s">
        <v>109</v>
      </c>
      <c r="T167" s="47"/>
      <c r="U167" s="47">
        <v>2</v>
      </c>
      <c r="V167" s="47" t="s">
        <v>66</v>
      </c>
      <c r="W167" s="47" t="s">
        <v>67</v>
      </c>
      <c r="X167" s="47" t="s">
        <v>68</v>
      </c>
      <c r="Y167" s="47" t="s">
        <v>137</v>
      </c>
      <c r="Z167" s="47"/>
      <c r="AA167" s="47"/>
      <c r="AB167" s="47" t="s">
        <v>289</v>
      </c>
      <c r="AC167" s="47" t="s">
        <v>73</v>
      </c>
      <c r="AD167" s="47" t="s">
        <v>74</v>
      </c>
      <c r="AE167" s="49">
        <v>41295</v>
      </c>
      <c r="AF167" s="47" t="s">
        <v>123</v>
      </c>
      <c r="AG167" s="47"/>
      <c r="AH167" s="47" t="s">
        <v>124</v>
      </c>
      <c r="AI167" s="47" t="s">
        <v>182</v>
      </c>
      <c r="AJ167" s="47" t="s">
        <v>1527</v>
      </c>
      <c r="AK167" s="47" t="s">
        <v>59</v>
      </c>
      <c r="AL167" s="47" t="s">
        <v>59</v>
      </c>
      <c r="AM167" s="47" t="s">
        <v>99</v>
      </c>
      <c r="AN167" s="47" t="s">
        <v>80</v>
      </c>
      <c r="AO167" s="47"/>
      <c r="AP167" s="47"/>
      <c r="AQ167" s="47" t="s">
        <v>81</v>
      </c>
      <c r="AR167" s="47"/>
      <c r="AS167" s="47" t="s">
        <v>82</v>
      </c>
      <c r="AT167" s="47" t="s">
        <v>182</v>
      </c>
      <c r="AU167" s="47" t="s">
        <v>83</v>
      </c>
      <c r="AV167" s="47" t="s">
        <v>184</v>
      </c>
      <c r="AW167" s="47" t="s">
        <v>1528</v>
      </c>
      <c r="AX167" s="47" t="s">
        <v>1078</v>
      </c>
      <c r="AY167" s="49">
        <v>41456</v>
      </c>
      <c r="AZ167" s="47" t="s">
        <v>80</v>
      </c>
      <c r="BA167" s="47" t="s">
        <v>1529</v>
      </c>
      <c r="BB167" s="47" t="s">
        <v>2358</v>
      </c>
      <c r="BC167" s="47" t="s">
        <v>2542</v>
      </c>
      <c r="BD167" s="47">
        <v>528098831</v>
      </c>
      <c r="BE167" s="50">
        <v>22349</v>
      </c>
      <c r="BF167" s="53">
        <v>1243000</v>
      </c>
    </row>
    <row r="168" spans="1:58" s="51" customFormat="1" ht="23.4" hidden="1" x14ac:dyDescent="0.25">
      <c r="A168" s="46">
        <v>167</v>
      </c>
      <c r="B168" s="47">
        <v>7394</v>
      </c>
      <c r="C168" s="47"/>
      <c r="D168" s="47" t="s">
        <v>1530</v>
      </c>
      <c r="E168" s="47" t="s">
        <v>1531</v>
      </c>
      <c r="F168" s="47" t="s">
        <v>1532</v>
      </c>
      <c r="G168" s="47" t="str">
        <f>CONCATENATE(TRIM(الجدول2[[#This Row],[الاسم الأول]])," ",TRIM(الجدول2[[#This Row],[اسم الأب]])," ",TRIM(الجدول2[[#This Row],[الكنية]]))</f>
        <v>ليليان جوزيف حداد</v>
      </c>
      <c r="H168" s="47" t="s">
        <v>1533</v>
      </c>
      <c r="I168" s="48" t="s">
        <v>1534</v>
      </c>
      <c r="J168" s="47" t="s">
        <v>58</v>
      </c>
      <c r="K168" s="47" t="s">
        <v>59</v>
      </c>
      <c r="L168" s="47" t="s">
        <v>59</v>
      </c>
      <c r="M168" s="47" t="s">
        <v>60</v>
      </c>
      <c r="N168" s="47" t="s">
        <v>59</v>
      </c>
      <c r="O168" s="49">
        <v>31798</v>
      </c>
      <c r="P168" s="47" t="s">
        <v>1535</v>
      </c>
      <c r="Q168" s="47" t="s">
        <v>179</v>
      </c>
      <c r="R168" s="48" t="s">
        <v>1536</v>
      </c>
      <c r="S168" s="47" t="s">
        <v>109</v>
      </c>
      <c r="T168" s="47"/>
      <c r="U168" s="47">
        <v>1</v>
      </c>
      <c r="V168" s="47" t="s">
        <v>66</v>
      </c>
      <c r="W168" s="47" t="s">
        <v>67</v>
      </c>
      <c r="X168" s="47" t="s">
        <v>68</v>
      </c>
      <c r="Y168" s="47" t="s">
        <v>797</v>
      </c>
      <c r="Z168" s="47"/>
      <c r="AA168" s="47"/>
      <c r="AB168" s="47" t="s">
        <v>668</v>
      </c>
      <c r="AC168" s="47" t="s">
        <v>73</v>
      </c>
      <c r="AD168" s="47" t="s">
        <v>74</v>
      </c>
      <c r="AE168" s="49">
        <v>40860</v>
      </c>
      <c r="AF168" s="47" t="s">
        <v>123</v>
      </c>
      <c r="AG168" s="47"/>
      <c r="AH168" s="47" t="s">
        <v>2277</v>
      </c>
      <c r="AI168" s="47" t="s">
        <v>327</v>
      </c>
      <c r="AJ168" s="47" t="s">
        <v>1375</v>
      </c>
      <c r="AK168" s="47" t="s">
        <v>361</v>
      </c>
      <c r="AL168" s="47" t="s">
        <v>361</v>
      </c>
      <c r="AM168" s="47" t="s">
        <v>99</v>
      </c>
      <c r="AN168" s="47" t="s">
        <v>80</v>
      </c>
      <c r="AO168" s="47"/>
      <c r="AP168" s="47"/>
      <c r="AQ168" s="47" t="s">
        <v>81</v>
      </c>
      <c r="AR168" s="47"/>
      <c r="AS168" s="47" t="s">
        <v>173</v>
      </c>
      <c r="AT168" s="47" t="s">
        <v>327</v>
      </c>
      <c r="AU168" s="47" t="s">
        <v>83</v>
      </c>
      <c r="AV168" s="47" t="s">
        <v>650</v>
      </c>
      <c r="AW168" s="47" t="s">
        <v>624</v>
      </c>
      <c r="AX168" s="47" t="s">
        <v>1375</v>
      </c>
      <c r="AY168" s="49">
        <v>39645</v>
      </c>
      <c r="AZ168" s="47" t="s">
        <v>80</v>
      </c>
      <c r="BA168" s="47"/>
      <c r="BB168" s="47" t="s">
        <v>2359</v>
      </c>
      <c r="BC168" s="47" t="s">
        <v>2542</v>
      </c>
      <c r="BD168" s="47">
        <v>526091770</v>
      </c>
      <c r="BE168" s="50">
        <v>10904</v>
      </c>
      <c r="BF168" s="53">
        <v>1269150</v>
      </c>
    </row>
    <row r="169" spans="1:58" s="51" customFormat="1" ht="23.4" hidden="1" x14ac:dyDescent="0.25">
      <c r="A169" s="46">
        <v>168</v>
      </c>
      <c r="B169" s="47">
        <v>7408</v>
      </c>
      <c r="C169" s="47">
        <v>1343833</v>
      </c>
      <c r="D169" s="47" t="s">
        <v>1537</v>
      </c>
      <c r="E169" s="47" t="s">
        <v>496</v>
      </c>
      <c r="F169" s="47" t="s">
        <v>1538</v>
      </c>
      <c r="G169" s="47" t="str">
        <f>CONCATENATE(TRIM(الجدول2[[#This Row],[الاسم الأول]])," ",TRIM(الجدول2[[#This Row],[اسم الأب]])," ",TRIM(الجدول2[[#This Row],[الكنية]]))</f>
        <v>لينا ديوب حبق</v>
      </c>
      <c r="H169" s="47" t="s">
        <v>1539</v>
      </c>
      <c r="I169" s="48" t="s">
        <v>1540</v>
      </c>
      <c r="J169" s="47" t="s">
        <v>58</v>
      </c>
      <c r="K169" s="47" t="s">
        <v>59</v>
      </c>
      <c r="L169" s="47" t="s">
        <v>164</v>
      </c>
      <c r="M169" s="47" t="s">
        <v>766</v>
      </c>
      <c r="N169" s="47" t="s">
        <v>59</v>
      </c>
      <c r="O169" s="49">
        <v>31818</v>
      </c>
      <c r="P169" s="47" t="s">
        <v>1541</v>
      </c>
      <c r="Q169" s="47" t="s">
        <v>179</v>
      </c>
      <c r="R169" s="48" t="s">
        <v>1542</v>
      </c>
      <c r="S169" s="47" t="s">
        <v>109</v>
      </c>
      <c r="T169" s="47"/>
      <c r="U169" s="47">
        <v>0</v>
      </c>
      <c r="V169" s="47" t="s">
        <v>66</v>
      </c>
      <c r="W169" s="47" t="s">
        <v>67</v>
      </c>
      <c r="X169" s="47" t="s">
        <v>68</v>
      </c>
      <c r="Y169" s="47" t="s">
        <v>137</v>
      </c>
      <c r="Z169" s="47"/>
      <c r="AA169" s="47"/>
      <c r="AB169" s="47" t="s">
        <v>72</v>
      </c>
      <c r="AC169" s="47" t="s">
        <v>73</v>
      </c>
      <c r="AD169" s="47" t="s">
        <v>74</v>
      </c>
      <c r="AE169" s="49">
        <v>41081</v>
      </c>
      <c r="AF169" s="47" t="s">
        <v>75</v>
      </c>
      <c r="AG169" s="47"/>
      <c r="AH169" s="47" t="s">
        <v>2277</v>
      </c>
      <c r="AI169" s="47" t="s">
        <v>76</v>
      </c>
      <c r="AJ169" s="47" t="s">
        <v>277</v>
      </c>
      <c r="AK169" s="47" t="s">
        <v>59</v>
      </c>
      <c r="AL169" s="47" t="s">
        <v>164</v>
      </c>
      <c r="AM169" s="47" t="s">
        <v>99</v>
      </c>
      <c r="AN169" s="47" t="s">
        <v>83</v>
      </c>
      <c r="AO169" s="47" t="s">
        <v>1543</v>
      </c>
      <c r="AP169" s="47" t="s">
        <v>342</v>
      </c>
      <c r="AQ169" s="47" t="s">
        <v>81</v>
      </c>
      <c r="AR169" s="47"/>
      <c r="AS169" s="47" t="s">
        <v>82</v>
      </c>
      <c r="AT169" s="47" t="s">
        <v>76</v>
      </c>
      <c r="AU169" s="47" t="s">
        <v>83</v>
      </c>
      <c r="AV169" s="47" t="s">
        <v>425</v>
      </c>
      <c r="AW169" s="47" t="s">
        <v>277</v>
      </c>
      <c r="AX169" s="47" t="s">
        <v>833</v>
      </c>
      <c r="AY169" s="49">
        <v>40846</v>
      </c>
      <c r="AZ169" s="47" t="s">
        <v>80</v>
      </c>
      <c r="BA169" s="47" t="s">
        <v>1544</v>
      </c>
      <c r="BB169" s="47" t="s">
        <v>2358</v>
      </c>
      <c r="BC169" s="47" t="s">
        <v>2542</v>
      </c>
      <c r="BD169" s="47">
        <v>526007550</v>
      </c>
      <c r="BE169" s="50">
        <v>8804</v>
      </c>
      <c r="BF169" s="53">
        <v>1352400</v>
      </c>
    </row>
    <row r="170" spans="1:58" s="51" customFormat="1" ht="23.4" hidden="1" x14ac:dyDescent="0.25">
      <c r="A170" s="46">
        <v>169</v>
      </c>
      <c r="B170" s="47">
        <v>7415</v>
      </c>
      <c r="C170" s="47">
        <v>1634097</v>
      </c>
      <c r="D170" s="47" t="s">
        <v>1537</v>
      </c>
      <c r="E170" s="47" t="s">
        <v>131</v>
      </c>
      <c r="F170" s="47" t="s">
        <v>1545</v>
      </c>
      <c r="G170" s="47" t="str">
        <f>CONCATENATE(TRIM(الجدول2[[#This Row],[الاسم الأول]])," ",TRIM(الجدول2[[#This Row],[اسم الأب]])," ",TRIM(الجدول2[[#This Row],[الكنية]]))</f>
        <v>لينا علي الشعبان</v>
      </c>
      <c r="H170" s="47" t="s">
        <v>1546</v>
      </c>
      <c r="I170" s="48" t="s">
        <v>1547</v>
      </c>
      <c r="J170" s="47" t="s">
        <v>58</v>
      </c>
      <c r="K170" s="47" t="s">
        <v>59</v>
      </c>
      <c r="L170" s="47" t="s">
        <v>59</v>
      </c>
      <c r="M170" s="47" t="s">
        <v>60</v>
      </c>
      <c r="N170" s="47" t="s">
        <v>1548</v>
      </c>
      <c r="O170" s="49">
        <v>35098</v>
      </c>
      <c r="P170" s="47" t="s">
        <v>1549</v>
      </c>
      <c r="Q170" s="47" t="s">
        <v>179</v>
      </c>
      <c r="R170" s="48" t="s">
        <v>1550</v>
      </c>
      <c r="S170" s="47" t="s">
        <v>109</v>
      </c>
      <c r="T170" s="47"/>
      <c r="U170" s="47">
        <v>2</v>
      </c>
      <c r="V170" s="47" t="s">
        <v>66</v>
      </c>
      <c r="W170" s="47" t="s">
        <v>67</v>
      </c>
      <c r="X170" s="47" t="s">
        <v>68</v>
      </c>
      <c r="Y170" s="47" t="s">
        <v>152</v>
      </c>
      <c r="Z170" s="47" t="s">
        <v>1551</v>
      </c>
      <c r="AA170" s="47"/>
      <c r="AB170" s="47" t="s">
        <v>197</v>
      </c>
      <c r="AC170" s="47" t="s">
        <v>73</v>
      </c>
      <c r="AD170" s="47" t="s">
        <v>74</v>
      </c>
      <c r="AE170" s="49">
        <v>45524</v>
      </c>
      <c r="AF170" s="47" t="s">
        <v>75</v>
      </c>
      <c r="AG170" s="47"/>
      <c r="AH170" s="47" t="s">
        <v>2277</v>
      </c>
      <c r="AI170" s="47" t="s">
        <v>76</v>
      </c>
      <c r="AJ170" s="47" t="s">
        <v>277</v>
      </c>
      <c r="AK170" s="47" t="s">
        <v>59</v>
      </c>
      <c r="AL170" s="47" t="s">
        <v>59</v>
      </c>
      <c r="AM170" s="47" t="s">
        <v>99</v>
      </c>
      <c r="AN170" s="47" t="s">
        <v>83</v>
      </c>
      <c r="AO170" s="47" t="s">
        <v>1552</v>
      </c>
      <c r="AP170" s="47" t="s">
        <v>1553</v>
      </c>
      <c r="AQ170" s="47" t="s">
        <v>81</v>
      </c>
      <c r="AR170" s="47"/>
      <c r="AS170" s="47" t="s">
        <v>173</v>
      </c>
      <c r="AT170" s="47" t="s">
        <v>76</v>
      </c>
      <c r="AU170" s="47" t="s">
        <v>83</v>
      </c>
      <c r="AV170" s="47" t="s">
        <v>425</v>
      </c>
      <c r="AW170" s="47" t="s">
        <v>1554</v>
      </c>
      <c r="AX170" s="47" t="s">
        <v>913</v>
      </c>
      <c r="AY170" s="49">
        <v>44019</v>
      </c>
      <c r="AZ170" s="47" t="s">
        <v>80</v>
      </c>
      <c r="BA170" s="47"/>
      <c r="BB170" s="47" t="s">
        <v>2358</v>
      </c>
      <c r="BC170" s="47" t="s">
        <v>2542</v>
      </c>
      <c r="BD170" s="47">
        <v>523151757</v>
      </c>
      <c r="BE170" s="50">
        <v>2728</v>
      </c>
      <c r="BF170" s="53">
        <v>943000</v>
      </c>
    </row>
    <row r="171" spans="1:58" s="51" customFormat="1" ht="23.4" hidden="1" x14ac:dyDescent="0.25">
      <c r="A171" s="46">
        <v>170</v>
      </c>
      <c r="B171" s="47">
        <v>7417</v>
      </c>
      <c r="C171" s="47"/>
      <c r="D171" s="47" t="s">
        <v>1537</v>
      </c>
      <c r="E171" s="47" t="s">
        <v>506</v>
      </c>
      <c r="F171" s="47" t="s">
        <v>694</v>
      </c>
      <c r="G171" s="47" t="str">
        <f>CONCATENATE(TRIM(الجدول2[[#This Row],[الاسم الأول]])," ",TRIM(الجدول2[[#This Row],[اسم الأب]])," ",TRIM(الجدول2[[#This Row],[الكنية]]))</f>
        <v>لينا عيسى عبدالرحمن</v>
      </c>
      <c r="H171" s="47" t="s">
        <v>1555</v>
      </c>
      <c r="I171" s="48" t="s">
        <v>1556</v>
      </c>
      <c r="J171" s="47" t="s">
        <v>58</v>
      </c>
      <c r="K171" s="47" t="s">
        <v>59</v>
      </c>
      <c r="L171" s="47" t="s">
        <v>78</v>
      </c>
      <c r="M171" s="47" t="s">
        <v>570</v>
      </c>
      <c r="N171" s="47" t="s">
        <v>59</v>
      </c>
      <c r="O171" s="49">
        <v>30730</v>
      </c>
      <c r="P171" s="47" t="s">
        <v>1557</v>
      </c>
      <c r="Q171" s="47" t="s">
        <v>179</v>
      </c>
      <c r="R171" s="48" t="s">
        <v>1558</v>
      </c>
      <c r="S171" s="47" t="s">
        <v>109</v>
      </c>
      <c r="T171" s="47"/>
      <c r="U171" s="47">
        <v>2</v>
      </c>
      <c r="V171" s="47" t="s">
        <v>66</v>
      </c>
      <c r="W171" s="47" t="s">
        <v>67</v>
      </c>
      <c r="X171" s="47" t="s">
        <v>68</v>
      </c>
      <c r="Y171" s="47" t="s">
        <v>137</v>
      </c>
      <c r="Z171" s="47"/>
      <c r="AA171" s="47"/>
      <c r="AB171" s="47" t="s">
        <v>1559</v>
      </c>
      <c r="AC171" s="47" t="s">
        <v>73</v>
      </c>
      <c r="AD171" s="47" t="s">
        <v>74</v>
      </c>
      <c r="AE171" s="49">
        <v>41294</v>
      </c>
      <c r="AF171" s="47" t="s">
        <v>123</v>
      </c>
      <c r="AG171" s="47"/>
      <c r="AH171" s="47" t="s">
        <v>124</v>
      </c>
      <c r="AI171" s="47" t="s">
        <v>182</v>
      </c>
      <c r="AJ171" s="47" t="s">
        <v>1051</v>
      </c>
      <c r="AK171" s="47" t="s">
        <v>59</v>
      </c>
      <c r="AL171" s="47" t="s">
        <v>78</v>
      </c>
      <c r="AM171" s="47" t="s">
        <v>158</v>
      </c>
      <c r="AN171" s="47" t="s">
        <v>80</v>
      </c>
      <c r="AO171" s="47"/>
      <c r="AP171" s="47"/>
      <c r="AQ171" s="47" t="s">
        <v>81</v>
      </c>
      <c r="AR171" s="47"/>
      <c r="AS171" s="47" t="s">
        <v>173</v>
      </c>
      <c r="AT171" s="47" t="s">
        <v>182</v>
      </c>
      <c r="AU171" s="47" t="s">
        <v>83</v>
      </c>
      <c r="AV171" s="47" t="s">
        <v>425</v>
      </c>
      <c r="AW171" s="47" t="s">
        <v>182</v>
      </c>
      <c r="AX171" s="47" t="s">
        <v>1051</v>
      </c>
      <c r="AY171" s="49">
        <v>38222</v>
      </c>
      <c r="AZ171" s="47" t="s">
        <v>80</v>
      </c>
      <c r="BA171" s="47" t="s">
        <v>1560</v>
      </c>
      <c r="BB171" s="47" t="s">
        <v>2358</v>
      </c>
      <c r="BC171" s="47" t="s">
        <v>2542</v>
      </c>
      <c r="BD171" s="47">
        <v>528064720</v>
      </c>
      <c r="BE171" s="50">
        <v>21902</v>
      </c>
      <c r="BF171" s="53">
        <v>1243000</v>
      </c>
    </row>
    <row r="172" spans="1:58" s="51" customFormat="1" ht="23.4" hidden="1" x14ac:dyDescent="0.25">
      <c r="A172" s="46">
        <v>171</v>
      </c>
      <c r="B172" s="47">
        <v>7423</v>
      </c>
      <c r="C172" s="47"/>
      <c r="D172" s="47" t="s">
        <v>1537</v>
      </c>
      <c r="E172" s="47" t="s">
        <v>115</v>
      </c>
      <c r="F172" s="47" t="s">
        <v>1561</v>
      </c>
      <c r="G172" s="47" t="str">
        <f>CONCATENATE(TRIM(الجدول2[[#This Row],[الاسم الأول]])," ",TRIM(الجدول2[[#This Row],[اسم الأب]])," ",TRIM(الجدول2[[#This Row],[الكنية]]))</f>
        <v>لينا محمد درغام</v>
      </c>
      <c r="H172" s="47" t="s">
        <v>1562</v>
      </c>
      <c r="I172" s="48" t="s">
        <v>1563</v>
      </c>
      <c r="J172" s="47" t="s">
        <v>58</v>
      </c>
      <c r="K172" s="47" t="s">
        <v>59</v>
      </c>
      <c r="L172" s="47" t="s">
        <v>90</v>
      </c>
      <c r="M172" s="47" t="s">
        <v>298</v>
      </c>
      <c r="N172" s="47" t="s">
        <v>90</v>
      </c>
      <c r="O172" s="49">
        <v>27703</v>
      </c>
      <c r="P172" s="47" t="s">
        <v>1564</v>
      </c>
      <c r="Q172" s="47" t="s">
        <v>179</v>
      </c>
      <c r="R172" s="48" t="s">
        <v>1565</v>
      </c>
      <c r="S172" s="47" t="s">
        <v>109</v>
      </c>
      <c r="T172" s="47"/>
      <c r="U172" s="47">
        <v>3</v>
      </c>
      <c r="V172" s="47" t="s">
        <v>66</v>
      </c>
      <c r="W172" s="47" t="s">
        <v>67</v>
      </c>
      <c r="X172" s="47" t="s">
        <v>68</v>
      </c>
      <c r="Y172" s="47" t="s">
        <v>152</v>
      </c>
      <c r="Z172" s="47" t="s">
        <v>196</v>
      </c>
      <c r="AA172" s="47"/>
      <c r="AB172" s="47" t="s">
        <v>212</v>
      </c>
      <c r="AC172" s="47" t="s">
        <v>155</v>
      </c>
      <c r="AD172" s="47" t="s">
        <v>74</v>
      </c>
      <c r="AE172" s="49">
        <v>43905</v>
      </c>
      <c r="AF172" s="47" t="s">
        <v>156</v>
      </c>
      <c r="AG172" s="47"/>
      <c r="AH172" s="47" t="s">
        <v>140</v>
      </c>
      <c r="AI172" s="47" t="s">
        <v>143</v>
      </c>
      <c r="AJ172" s="47"/>
      <c r="AK172" s="47" t="s">
        <v>59</v>
      </c>
      <c r="AL172" s="47" t="s">
        <v>59</v>
      </c>
      <c r="AM172" s="47" t="s">
        <v>79</v>
      </c>
      <c r="AN172" s="47" t="s">
        <v>83</v>
      </c>
      <c r="AO172" s="47" t="s">
        <v>1566</v>
      </c>
      <c r="AP172" s="47" t="s">
        <v>1567</v>
      </c>
      <c r="AQ172" s="47" t="s">
        <v>81</v>
      </c>
      <c r="AR172" s="47"/>
      <c r="AS172" s="47" t="s">
        <v>142</v>
      </c>
      <c r="AT172" s="47" t="s">
        <v>143</v>
      </c>
      <c r="AU172" s="47" t="s">
        <v>83</v>
      </c>
      <c r="AV172" s="47"/>
      <c r="AW172" s="47"/>
      <c r="AX172" s="47"/>
      <c r="AY172" s="49">
        <v>33042</v>
      </c>
      <c r="AZ172" s="47" t="s">
        <v>80</v>
      </c>
      <c r="BA172" s="47"/>
      <c r="BB172" s="47" t="s">
        <v>2359</v>
      </c>
      <c r="BC172" s="47" t="s">
        <v>2542</v>
      </c>
      <c r="BD172" s="47">
        <v>523169373</v>
      </c>
      <c r="BE172" s="50">
        <v>2857</v>
      </c>
      <c r="BF172" s="53">
        <v>994128</v>
      </c>
    </row>
    <row r="173" spans="1:58" s="51" customFormat="1" ht="23.4" x14ac:dyDescent="0.25">
      <c r="A173" s="46">
        <v>172</v>
      </c>
      <c r="B173" s="47">
        <v>7431</v>
      </c>
      <c r="C173" s="47"/>
      <c r="D173" s="47" t="s">
        <v>1568</v>
      </c>
      <c r="E173" s="47" t="s">
        <v>115</v>
      </c>
      <c r="F173" s="47" t="s">
        <v>175</v>
      </c>
      <c r="G173" s="47" t="str">
        <f>CONCATENATE(TRIM(الجدول2[[#This Row],[الاسم الأول]])," ",TRIM(الجدول2[[#This Row],[اسم الأب]])," ",TRIM(الجدول2[[#This Row],[الكنية]]))</f>
        <v>ليندا محمد اسماعيل</v>
      </c>
      <c r="H173" s="47" t="s">
        <v>1569</v>
      </c>
      <c r="I173" s="48" t="s">
        <v>1570</v>
      </c>
      <c r="J173" s="47" t="s">
        <v>58</v>
      </c>
      <c r="K173" s="47" t="s">
        <v>59</v>
      </c>
      <c r="L173" s="47" t="s">
        <v>78</v>
      </c>
      <c r="M173" s="47" t="s">
        <v>570</v>
      </c>
      <c r="N173" s="47" t="s">
        <v>78</v>
      </c>
      <c r="O173" s="49">
        <v>30439</v>
      </c>
      <c r="P173" s="47" t="s">
        <v>1571</v>
      </c>
      <c r="Q173" s="47" t="s">
        <v>179</v>
      </c>
      <c r="R173" s="48" t="s">
        <v>1572</v>
      </c>
      <c r="S173" s="47" t="s">
        <v>109</v>
      </c>
      <c r="T173" s="47"/>
      <c r="U173" s="47">
        <v>0</v>
      </c>
      <c r="V173" s="47" t="s">
        <v>66</v>
      </c>
      <c r="W173" s="47" t="s">
        <v>67</v>
      </c>
      <c r="X173" s="47" t="s">
        <v>68</v>
      </c>
      <c r="Y173" s="47"/>
      <c r="Z173" s="47"/>
      <c r="AA173" s="47"/>
      <c r="AB173" s="47" t="s">
        <v>72</v>
      </c>
      <c r="AC173" s="47" t="s">
        <v>73</v>
      </c>
      <c r="AD173" s="47" t="s">
        <v>1573</v>
      </c>
      <c r="AE173" s="49">
        <v>38886</v>
      </c>
      <c r="AF173" s="47" t="s">
        <v>75</v>
      </c>
      <c r="AG173" s="47"/>
      <c r="AH173" s="47" t="s">
        <v>2277</v>
      </c>
      <c r="AI173" s="47" t="s">
        <v>76</v>
      </c>
      <c r="AJ173" s="47" t="s">
        <v>277</v>
      </c>
      <c r="AK173" s="47" t="s">
        <v>59</v>
      </c>
      <c r="AL173" s="47" t="s">
        <v>59</v>
      </c>
      <c r="AM173" s="47" t="s">
        <v>99</v>
      </c>
      <c r="AN173" s="47" t="s">
        <v>80</v>
      </c>
      <c r="AO173" s="47"/>
      <c r="AP173" s="47"/>
      <c r="AQ173" s="47" t="s">
        <v>81</v>
      </c>
      <c r="AR173" s="47"/>
      <c r="AS173" s="47" t="s">
        <v>173</v>
      </c>
      <c r="AT173" s="47" t="s">
        <v>76</v>
      </c>
      <c r="AU173" s="47" t="s">
        <v>83</v>
      </c>
      <c r="AV173" s="47" t="s">
        <v>425</v>
      </c>
      <c r="AW173" s="47" t="s">
        <v>566</v>
      </c>
      <c r="AX173" s="47" t="s">
        <v>1574</v>
      </c>
      <c r="AY173" s="49">
        <v>38579</v>
      </c>
      <c r="AZ173" s="47" t="s">
        <v>80</v>
      </c>
      <c r="BA173" s="47" t="s">
        <v>332</v>
      </c>
      <c r="BB173" s="47"/>
      <c r="BC173" s="47" t="s">
        <v>2542</v>
      </c>
      <c r="BD173" s="47">
        <v>527286251</v>
      </c>
      <c r="BE173" s="50">
        <v>17507</v>
      </c>
      <c r="BF173" s="53">
        <v>0</v>
      </c>
    </row>
    <row r="174" spans="1:58" s="51" customFormat="1" ht="23.4" hidden="1" x14ac:dyDescent="0.25">
      <c r="A174" s="46">
        <v>173</v>
      </c>
      <c r="B174" s="47">
        <v>7473</v>
      </c>
      <c r="C174" s="47"/>
      <c r="D174" s="47" t="s">
        <v>1575</v>
      </c>
      <c r="E174" s="47" t="s">
        <v>115</v>
      </c>
      <c r="F174" s="47" t="s">
        <v>1576</v>
      </c>
      <c r="G174" s="47" t="str">
        <f>CONCATENATE(TRIM(الجدول2[[#This Row],[الاسم الأول]])," ",TRIM(الجدول2[[#This Row],[اسم الأب]])," ",TRIM(الجدول2[[#This Row],[الكنية]]))</f>
        <v>ماريا محمد سيمير</v>
      </c>
      <c r="H174" s="47" t="s">
        <v>1577</v>
      </c>
      <c r="I174" s="48" t="s">
        <v>1578</v>
      </c>
      <c r="J174" s="47" t="s">
        <v>58</v>
      </c>
      <c r="K174" s="47" t="s">
        <v>59</v>
      </c>
      <c r="L174" s="47" t="s">
        <v>59</v>
      </c>
      <c r="M174" s="47" t="s">
        <v>60</v>
      </c>
      <c r="N174" s="47" t="s">
        <v>59</v>
      </c>
      <c r="O174" s="49">
        <v>34335</v>
      </c>
      <c r="P174" s="47" t="s">
        <v>1579</v>
      </c>
      <c r="Q174" s="47" t="s">
        <v>179</v>
      </c>
      <c r="R174" s="48" t="s">
        <v>1580</v>
      </c>
      <c r="S174" s="47" t="s">
        <v>109</v>
      </c>
      <c r="T174" s="47"/>
      <c r="U174" s="47">
        <v>0</v>
      </c>
      <c r="V174" s="47" t="s">
        <v>66</v>
      </c>
      <c r="W174" s="47" t="s">
        <v>67</v>
      </c>
      <c r="X174" s="47" t="s">
        <v>68</v>
      </c>
      <c r="Y174" s="47" t="s">
        <v>797</v>
      </c>
      <c r="Z174" s="47"/>
      <c r="AA174" s="47"/>
      <c r="AB174" s="47" t="s">
        <v>72</v>
      </c>
      <c r="AC174" s="47" t="s">
        <v>73</v>
      </c>
      <c r="AD174" s="47" t="s">
        <v>74</v>
      </c>
      <c r="AE174" s="49">
        <v>43790</v>
      </c>
      <c r="AF174" s="47" t="s">
        <v>75</v>
      </c>
      <c r="AG174" s="47"/>
      <c r="AH174" s="47" t="s">
        <v>2277</v>
      </c>
      <c r="AI174" s="47" t="s">
        <v>76</v>
      </c>
      <c r="AJ174" s="47" t="s">
        <v>343</v>
      </c>
      <c r="AK174" s="47" t="s">
        <v>59</v>
      </c>
      <c r="AL174" s="47" t="s">
        <v>59</v>
      </c>
      <c r="AM174" s="47" t="s">
        <v>99</v>
      </c>
      <c r="AN174" s="47" t="s">
        <v>83</v>
      </c>
      <c r="AO174" s="47" t="s">
        <v>1581</v>
      </c>
      <c r="AP174" s="47" t="s">
        <v>127</v>
      </c>
      <c r="AQ174" s="47" t="s">
        <v>81</v>
      </c>
      <c r="AR174" s="47"/>
      <c r="AS174" s="47" t="s">
        <v>82</v>
      </c>
      <c r="AT174" s="47" t="s">
        <v>76</v>
      </c>
      <c r="AU174" s="47" t="s">
        <v>83</v>
      </c>
      <c r="AV174" s="47" t="s">
        <v>425</v>
      </c>
      <c r="AW174" s="47" t="s">
        <v>1582</v>
      </c>
      <c r="AX174" s="47" t="s">
        <v>1583</v>
      </c>
      <c r="AY174" s="49">
        <v>42968</v>
      </c>
      <c r="AZ174" s="47" t="s">
        <v>80</v>
      </c>
      <c r="BA174" s="47"/>
      <c r="BB174" s="47" t="s">
        <v>2359</v>
      </c>
      <c r="BC174" s="47" t="s">
        <v>2542</v>
      </c>
      <c r="BD174" s="47">
        <v>526093094</v>
      </c>
      <c r="BE174" s="50">
        <v>10935</v>
      </c>
      <c r="BF174" s="53">
        <v>1123326</v>
      </c>
    </row>
    <row r="175" spans="1:58" s="51" customFormat="1" ht="23.4" hidden="1" x14ac:dyDescent="0.25">
      <c r="A175" s="46">
        <v>174</v>
      </c>
      <c r="B175" s="47">
        <v>7500</v>
      </c>
      <c r="C175" s="47"/>
      <c r="D175" s="47" t="s">
        <v>1584</v>
      </c>
      <c r="E175" s="47" t="s">
        <v>115</v>
      </c>
      <c r="F175" s="47" t="s">
        <v>1585</v>
      </c>
      <c r="G175" s="47" t="str">
        <f>CONCATENATE(TRIM(الجدول2[[#This Row],[الاسم الأول]])," ",TRIM(الجدول2[[#This Row],[اسم الأب]])," ",TRIM(الجدول2[[#This Row],[الكنية]]))</f>
        <v>مازن محمد دباشي</v>
      </c>
      <c r="H175" s="47" t="s">
        <v>1586</v>
      </c>
      <c r="I175" s="48" t="s">
        <v>1587</v>
      </c>
      <c r="J175" s="47" t="s">
        <v>58</v>
      </c>
      <c r="K175" s="47" t="s">
        <v>59</v>
      </c>
      <c r="L175" s="47" t="s">
        <v>59</v>
      </c>
      <c r="M175" s="47" t="s">
        <v>60</v>
      </c>
      <c r="N175" s="47" t="s">
        <v>1588</v>
      </c>
      <c r="O175" s="49">
        <v>32127</v>
      </c>
      <c r="P175" s="47" t="s">
        <v>1589</v>
      </c>
      <c r="Q175" s="47" t="s">
        <v>63</v>
      </c>
      <c r="R175" s="48" t="s">
        <v>1590</v>
      </c>
      <c r="S175" s="47" t="s">
        <v>109</v>
      </c>
      <c r="T175" s="47">
        <v>1</v>
      </c>
      <c r="U175" s="47">
        <v>2</v>
      </c>
      <c r="V175" s="47" t="s">
        <v>66</v>
      </c>
      <c r="W175" s="47" t="s">
        <v>67</v>
      </c>
      <c r="X175" s="47" t="s">
        <v>68</v>
      </c>
      <c r="Y175" s="47" t="s">
        <v>246</v>
      </c>
      <c r="Z175" s="47" t="s">
        <v>247</v>
      </c>
      <c r="AA175" s="47" t="s">
        <v>248</v>
      </c>
      <c r="AB175" s="47" t="s">
        <v>249</v>
      </c>
      <c r="AC175" s="47" t="s">
        <v>73</v>
      </c>
      <c r="AD175" s="47" t="s">
        <v>74</v>
      </c>
      <c r="AE175" s="49">
        <v>38047</v>
      </c>
      <c r="AF175" s="47" t="s">
        <v>139</v>
      </c>
      <c r="AG175" s="47"/>
      <c r="AH175" s="47" t="s">
        <v>140</v>
      </c>
      <c r="AI175" s="47" t="s">
        <v>250</v>
      </c>
      <c r="AJ175" s="47"/>
      <c r="AK175" s="47" t="s">
        <v>59</v>
      </c>
      <c r="AL175" s="47" t="s">
        <v>59</v>
      </c>
      <c r="AM175" s="47" t="s">
        <v>99</v>
      </c>
      <c r="AN175" s="47" t="s">
        <v>80</v>
      </c>
      <c r="AO175" s="47"/>
      <c r="AP175" s="47"/>
      <c r="AQ175" s="47" t="s">
        <v>81</v>
      </c>
      <c r="AR175" s="47"/>
      <c r="AS175" s="47" t="s">
        <v>82</v>
      </c>
      <c r="AT175" s="47" t="s">
        <v>250</v>
      </c>
      <c r="AU175" s="47"/>
      <c r="AV175" s="47"/>
      <c r="AW175" s="47"/>
      <c r="AX175" s="47"/>
      <c r="AY175" s="49"/>
      <c r="AZ175" s="47" t="s">
        <v>80</v>
      </c>
      <c r="BA175" s="47"/>
      <c r="BB175" s="47" t="s">
        <v>2359</v>
      </c>
      <c r="BC175" s="47" t="s">
        <v>2542</v>
      </c>
      <c r="BD175" s="47">
        <v>526457742</v>
      </c>
      <c r="BE175" s="50">
        <v>12244</v>
      </c>
      <c r="BF175" s="53">
        <v>1097700</v>
      </c>
    </row>
    <row r="176" spans="1:58" s="51" customFormat="1" ht="23.4" hidden="1" x14ac:dyDescent="0.25">
      <c r="A176" s="46">
        <v>175</v>
      </c>
      <c r="B176" s="47">
        <v>7573</v>
      </c>
      <c r="C176" s="47">
        <v>1634075</v>
      </c>
      <c r="D176" s="47" t="s">
        <v>1591</v>
      </c>
      <c r="E176" s="47" t="s">
        <v>882</v>
      </c>
      <c r="F176" s="47" t="s">
        <v>507</v>
      </c>
      <c r="G176" s="47" t="str">
        <f>CONCATENATE(TRIM(الجدول2[[#This Row],[الاسم الأول]])," ",TRIM(الجدول2[[#This Row],[اسم الأب]])," ",TRIM(الجدول2[[#This Row],[الكنية]]))</f>
        <v>ماهر مالك خليل</v>
      </c>
      <c r="H176" s="47" t="s">
        <v>1592</v>
      </c>
      <c r="I176" s="48" t="s">
        <v>1593</v>
      </c>
      <c r="J176" s="47" t="s">
        <v>58</v>
      </c>
      <c r="K176" s="47" t="s">
        <v>59</v>
      </c>
      <c r="L176" s="47" t="s">
        <v>164</v>
      </c>
      <c r="M176" s="47" t="s">
        <v>1473</v>
      </c>
      <c r="N176" s="47" t="s">
        <v>1594</v>
      </c>
      <c r="O176" s="49">
        <v>31048</v>
      </c>
      <c r="P176" s="47" t="s">
        <v>1595</v>
      </c>
      <c r="Q176" s="47" t="s">
        <v>63</v>
      </c>
      <c r="R176" s="48" t="s">
        <v>1596</v>
      </c>
      <c r="S176" s="47" t="s">
        <v>109</v>
      </c>
      <c r="T176" s="47">
        <v>1</v>
      </c>
      <c r="U176" s="47">
        <v>2</v>
      </c>
      <c r="V176" s="47" t="s">
        <v>66</v>
      </c>
      <c r="W176" s="47" t="s">
        <v>67</v>
      </c>
      <c r="X176" s="47" t="s">
        <v>68</v>
      </c>
      <c r="Y176" s="47" t="s">
        <v>137</v>
      </c>
      <c r="Z176" s="47"/>
      <c r="AA176" s="47"/>
      <c r="AB176" s="47" t="s">
        <v>1597</v>
      </c>
      <c r="AC176" s="47" t="s">
        <v>73</v>
      </c>
      <c r="AD176" s="47" t="s">
        <v>74</v>
      </c>
      <c r="AE176" s="49">
        <v>40862</v>
      </c>
      <c r="AF176" s="47" t="s">
        <v>123</v>
      </c>
      <c r="AG176" s="47"/>
      <c r="AH176" s="47" t="s">
        <v>2277</v>
      </c>
      <c r="AI176" s="47" t="s">
        <v>327</v>
      </c>
      <c r="AJ176" s="47" t="s">
        <v>686</v>
      </c>
      <c r="AK176" s="47" t="s">
        <v>59</v>
      </c>
      <c r="AL176" s="47" t="s">
        <v>164</v>
      </c>
      <c r="AM176" s="47" t="s">
        <v>79</v>
      </c>
      <c r="AN176" s="47" t="s">
        <v>80</v>
      </c>
      <c r="AO176" s="47"/>
      <c r="AP176" s="47"/>
      <c r="AQ176" s="47" t="s">
        <v>1598</v>
      </c>
      <c r="AR176" s="47" t="s">
        <v>1599</v>
      </c>
      <c r="AS176" s="47" t="s">
        <v>82</v>
      </c>
      <c r="AT176" s="47" t="s">
        <v>327</v>
      </c>
      <c r="AU176" s="47" t="s">
        <v>83</v>
      </c>
      <c r="AV176" s="47" t="s">
        <v>790</v>
      </c>
      <c r="AW176" s="47" t="s">
        <v>686</v>
      </c>
      <c r="AX176" s="47" t="s">
        <v>686</v>
      </c>
      <c r="AY176" s="49">
        <v>40065</v>
      </c>
      <c r="AZ176" s="47" t="s">
        <v>80</v>
      </c>
      <c r="BA176" s="47" t="s">
        <v>1164</v>
      </c>
      <c r="BB176" s="47" t="s">
        <v>2358</v>
      </c>
      <c r="BC176" s="47" t="s">
        <v>2542</v>
      </c>
      <c r="BD176" s="47">
        <v>523932216</v>
      </c>
      <c r="BE176" s="50">
        <v>4643</v>
      </c>
      <c r="BF176" s="53">
        <v>1352823</v>
      </c>
    </row>
    <row r="177" spans="1:58" s="51" customFormat="1" ht="23.4" hidden="1" x14ac:dyDescent="0.25">
      <c r="A177" s="46">
        <v>176</v>
      </c>
      <c r="B177" s="47">
        <v>7583</v>
      </c>
      <c r="C177" s="47">
        <v>1639556</v>
      </c>
      <c r="D177" s="47" t="s">
        <v>1591</v>
      </c>
      <c r="E177" s="47" t="s">
        <v>228</v>
      </c>
      <c r="F177" s="47" t="s">
        <v>1600</v>
      </c>
      <c r="G177" s="47" t="str">
        <f>CONCATENATE(TRIM(الجدول2[[#This Row],[الاسم الأول]])," ",TRIM(الجدول2[[#This Row],[اسم الأب]])," ",TRIM(الجدول2[[#This Row],[الكنية]]))</f>
        <v>ماهر محمود شيحا</v>
      </c>
      <c r="H177" s="47" t="s">
        <v>1601</v>
      </c>
      <c r="I177" s="48" t="s">
        <v>1602</v>
      </c>
      <c r="J177" s="47" t="s">
        <v>58</v>
      </c>
      <c r="K177" s="47" t="s">
        <v>59</v>
      </c>
      <c r="L177" s="47" t="s">
        <v>59</v>
      </c>
      <c r="M177" s="47" t="s">
        <v>544</v>
      </c>
      <c r="N177" s="47" t="s">
        <v>1603</v>
      </c>
      <c r="O177" s="49">
        <v>31959</v>
      </c>
      <c r="P177" s="47" t="s">
        <v>1604</v>
      </c>
      <c r="Q177" s="47" t="s">
        <v>63</v>
      </c>
      <c r="R177" s="48" t="s">
        <v>1605</v>
      </c>
      <c r="S177" s="47" t="s">
        <v>65</v>
      </c>
      <c r="T177" s="47"/>
      <c r="U177" s="47"/>
      <c r="V177" s="47" t="s">
        <v>66</v>
      </c>
      <c r="W177" s="47" t="s">
        <v>67</v>
      </c>
      <c r="X177" s="47" t="s">
        <v>68</v>
      </c>
      <c r="Y177" s="47" t="s">
        <v>246</v>
      </c>
      <c r="Z177" s="47" t="s">
        <v>247</v>
      </c>
      <c r="AA177" s="47" t="s">
        <v>248</v>
      </c>
      <c r="AB177" s="47" t="s">
        <v>249</v>
      </c>
      <c r="AC177" s="47" t="s">
        <v>155</v>
      </c>
      <c r="AD177" s="47" t="s">
        <v>74</v>
      </c>
      <c r="AE177" s="49">
        <v>45076</v>
      </c>
      <c r="AF177" s="47" t="s">
        <v>156</v>
      </c>
      <c r="AG177" s="47"/>
      <c r="AH177" s="47" t="s">
        <v>157</v>
      </c>
      <c r="AI177" s="47" t="s">
        <v>250</v>
      </c>
      <c r="AJ177" s="47"/>
      <c r="AK177" s="47" t="s">
        <v>59</v>
      </c>
      <c r="AL177" s="47" t="s">
        <v>59</v>
      </c>
      <c r="AM177" s="47" t="s">
        <v>158</v>
      </c>
      <c r="AN177" s="47" t="s">
        <v>80</v>
      </c>
      <c r="AO177" s="47"/>
      <c r="AP177" s="47"/>
      <c r="AQ177" s="47" t="s">
        <v>81</v>
      </c>
      <c r="AR177" s="47"/>
      <c r="AS177" s="47" t="s">
        <v>173</v>
      </c>
      <c r="AT177" s="47" t="s">
        <v>250</v>
      </c>
      <c r="AU177" s="47"/>
      <c r="AV177" s="47"/>
      <c r="AW177" s="47"/>
      <c r="AX177" s="47"/>
      <c r="AY177" s="49"/>
      <c r="AZ177" s="47" t="s">
        <v>80</v>
      </c>
      <c r="BA177" s="47"/>
      <c r="BB177" s="47" t="s">
        <v>2359</v>
      </c>
      <c r="BC177" s="47" t="s">
        <v>2542</v>
      </c>
      <c r="BD177" s="47">
        <v>526492725</v>
      </c>
      <c r="BE177" s="50">
        <v>12486</v>
      </c>
      <c r="BF177" s="53">
        <v>918870</v>
      </c>
    </row>
    <row r="178" spans="1:58" s="51" customFormat="1" ht="23.4" hidden="1" x14ac:dyDescent="0.25">
      <c r="A178" s="46">
        <v>177</v>
      </c>
      <c r="B178" s="47">
        <v>7590</v>
      </c>
      <c r="C178" s="47">
        <v>1632697</v>
      </c>
      <c r="D178" s="47" t="s">
        <v>1591</v>
      </c>
      <c r="E178" s="47" t="s">
        <v>859</v>
      </c>
      <c r="F178" s="47" t="s">
        <v>334</v>
      </c>
      <c r="G178" s="47" t="str">
        <f>CONCATENATE(TRIM(الجدول2[[#This Row],[الاسم الأول]])," ",TRIM(الجدول2[[#This Row],[اسم الأب]])," ",TRIM(الجدول2[[#This Row],[الكنية]]))</f>
        <v>ماهر ياسين سلمان</v>
      </c>
      <c r="H178" s="47" t="s">
        <v>1606</v>
      </c>
      <c r="I178" s="48" t="s">
        <v>1607</v>
      </c>
      <c r="J178" s="47" t="s">
        <v>58</v>
      </c>
      <c r="K178" s="47" t="s">
        <v>59</v>
      </c>
      <c r="L178" s="47" t="s">
        <v>59</v>
      </c>
      <c r="M178" s="47" t="s">
        <v>60</v>
      </c>
      <c r="N178" s="47" t="s">
        <v>59</v>
      </c>
      <c r="O178" s="49">
        <v>29966</v>
      </c>
      <c r="P178" s="47" t="s">
        <v>1608</v>
      </c>
      <c r="Q178" s="47" t="s">
        <v>63</v>
      </c>
      <c r="R178" s="48" t="s">
        <v>1609</v>
      </c>
      <c r="S178" s="47" t="s">
        <v>109</v>
      </c>
      <c r="T178" s="47">
        <v>1</v>
      </c>
      <c r="U178" s="47">
        <v>3</v>
      </c>
      <c r="V178" s="47" t="s">
        <v>66</v>
      </c>
      <c r="W178" s="47" t="s">
        <v>67</v>
      </c>
      <c r="X178" s="47" t="s">
        <v>68</v>
      </c>
      <c r="Y178" s="57" t="s">
        <v>210</v>
      </c>
      <c r="Z178" s="47" t="s">
        <v>521</v>
      </c>
      <c r="AA178" s="47" t="s">
        <v>522</v>
      </c>
      <c r="AB178" s="47" t="s">
        <v>1610</v>
      </c>
      <c r="AC178" s="47" t="s">
        <v>73</v>
      </c>
      <c r="AD178" s="47" t="s">
        <v>74</v>
      </c>
      <c r="AE178" s="49">
        <v>40860</v>
      </c>
      <c r="AF178" s="47" t="s">
        <v>123</v>
      </c>
      <c r="AG178" s="47"/>
      <c r="AH178" s="47" t="s">
        <v>2277</v>
      </c>
      <c r="AI178" s="47" t="s">
        <v>327</v>
      </c>
      <c r="AJ178" s="47" t="s">
        <v>1611</v>
      </c>
      <c r="AK178" s="47" t="s">
        <v>59</v>
      </c>
      <c r="AL178" s="47" t="s">
        <v>59</v>
      </c>
      <c r="AM178" s="47" t="s">
        <v>99</v>
      </c>
      <c r="AN178" s="47" t="s">
        <v>83</v>
      </c>
      <c r="AO178" s="47" t="s">
        <v>1612</v>
      </c>
      <c r="AP178" s="47" t="s">
        <v>199</v>
      </c>
      <c r="AQ178" s="47" t="s">
        <v>81</v>
      </c>
      <c r="AR178" s="47"/>
      <c r="AS178" s="47" t="s">
        <v>82</v>
      </c>
      <c r="AT178" s="47" t="s">
        <v>327</v>
      </c>
      <c r="AU178" s="47" t="s">
        <v>83</v>
      </c>
      <c r="AV178" s="47" t="s">
        <v>199</v>
      </c>
      <c r="AW178" s="47" t="s">
        <v>483</v>
      </c>
      <c r="AX178" s="47" t="s">
        <v>1613</v>
      </c>
      <c r="AY178" s="49">
        <v>45130</v>
      </c>
      <c r="AZ178" s="47" t="s">
        <v>80</v>
      </c>
      <c r="BA178" s="47"/>
      <c r="BB178" s="47" t="s">
        <v>2359</v>
      </c>
      <c r="BC178" s="47" t="s">
        <v>2542</v>
      </c>
      <c r="BD178" s="47">
        <v>523228632</v>
      </c>
      <c r="BE178" s="50">
        <v>3325</v>
      </c>
      <c r="BF178" s="53">
        <v>1303791</v>
      </c>
    </row>
    <row r="179" spans="1:58" s="51" customFormat="1" ht="23.4" hidden="1" x14ac:dyDescent="0.25">
      <c r="A179" s="46">
        <v>178</v>
      </c>
      <c r="B179" s="47">
        <v>7593</v>
      </c>
      <c r="C179" s="47">
        <v>1632686</v>
      </c>
      <c r="D179" s="47" t="s">
        <v>1591</v>
      </c>
      <c r="E179" s="47" t="s">
        <v>116</v>
      </c>
      <c r="F179" s="47" t="s">
        <v>1614</v>
      </c>
      <c r="G179" s="47" t="str">
        <f>CONCATENATE(TRIM(الجدول2[[#This Row],[الاسم الأول]])," ",TRIM(الجدول2[[#This Row],[اسم الأب]])," ",TRIM(الجدول2[[#This Row],[الكنية]]))</f>
        <v>ماهر يوسف العص</v>
      </c>
      <c r="H179" s="47" t="s">
        <v>1615</v>
      </c>
      <c r="I179" s="48" t="s">
        <v>1616</v>
      </c>
      <c r="J179" s="47" t="s">
        <v>58</v>
      </c>
      <c r="K179" s="47" t="s">
        <v>59</v>
      </c>
      <c r="L179" s="47" t="s">
        <v>78</v>
      </c>
      <c r="M179" s="47" t="s">
        <v>570</v>
      </c>
      <c r="N179" s="47" t="s">
        <v>78</v>
      </c>
      <c r="O179" s="49">
        <v>30042</v>
      </c>
      <c r="P179" s="47" t="s">
        <v>1617</v>
      </c>
      <c r="Q179" s="47" t="s">
        <v>63</v>
      </c>
      <c r="R179" s="48"/>
      <c r="S179" s="47" t="s">
        <v>109</v>
      </c>
      <c r="T179" s="47">
        <v>1</v>
      </c>
      <c r="U179" s="47">
        <v>2</v>
      </c>
      <c r="V179" s="47" t="s">
        <v>66</v>
      </c>
      <c r="W179" s="47" t="s">
        <v>67</v>
      </c>
      <c r="X179" s="47" t="s">
        <v>68</v>
      </c>
      <c r="Y179" s="47" t="s">
        <v>137</v>
      </c>
      <c r="Z179" s="47"/>
      <c r="AA179" s="47"/>
      <c r="AB179" s="47" t="s">
        <v>491</v>
      </c>
      <c r="AC179" s="47" t="s">
        <v>73</v>
      </c>
      <c r="AD179" s="47" t="s">
        <v>74</v>
      </c>
      <c r="AE179" s="49">
        <v>40909</v>
      </c>
      <c r="AF179" s="47" t="s">
        <v>123</v>
      </c>
      <c r="AG179" s="47"/>
      <c r="AH179" s="47" t="s">
        <v>2277</v>
      </c>
      <c r="AI179" s="47" t="s">
        <v>327</v>
      </c>
      <c r="AJ179" s="47" t="s">
        <v>1618</v>
      </c>
      <c r="AK179" s="47" t="s">
        <v>59</v>
      </c>
      <c r="AL179" s="47" t="s">
        <v>78</v>
      </c>
      <c r="AM179" s="47" t="s">
        <v>99</v>
      </c>
      <c r="AN179" s="47" t="s">
        <v>80</v>
      </c>
      <c r="AO179" s="47"/>
      <c r="AP179" s="47"/>
      <c r="AQ179" s="47" t="s">
        <v>81</v>
      </c>
      <c r="AR179" s="47"/>
      <c r="AS179" s="47" t="s">
        <v>82</v>
      </c>
      <c r="AT179" s="47" t="s">
        <v>327</v>
      </c>
      <c r="AU179" s="47" t="s">
        <v>83</v>
      </c>
      <c r="AV179" s="47" t="s">
        <v>184</v>
      </c>
      <c r="AW179" s="47" t="s">
        <v>1051</v>
      </c>
      <c r="AX179" s="47" t="s">
        <v>1619</v>
      </c>
      <c r="AY179" s="49">
        <v>39264</v>
      </c>
      <c r="AZ179" s="47" t="s">
        <v>80</v>
      </c>
      <c r="BA179" s="47" t="s">
        <v>1620</v>
      </c>
      <c r="BB179" s="47" t="s">
        <v>2358</v>
      </c>
      <c r="BC179" s="47" t="s">
        <v>2542</v>
      </c>
      <c r="BD179" s="47">
        <v>528186673</v>
      </c>
      <c r="BE179" s="50">
        <v>23422</v>
      </c>
      <c r="BF179" s="53">
        <v>1350231</v>
      </c>
    </row>
    <row r="180" spans="1:58" s="51" customFormat="1" ht="23.4" hidden="1" x14ac:dyDescent="0.25">
      <c r="A180" s="46">
        <v>179</v>
      </c>
      <c r="B180" s="47">
        <v>7620</v>
      </c>
      <c r="C180" s="47"/>
      <c r="D180" s="47" t="s">
        <v>1621</v>
      </c>
      <c r="E180" s="47" t="s">
        <v>53</v>
      </c>
      <c r="F180" s="47" t="s">
        <v>53</v>
      </c>
      <c r="G180" s="47" t="str">
        <f>CONCATENATE(TRIM(الجدول2[[#This Row],[الاسم الأول]])," ",TRIM(الجدول2[[#This Row],[اسم الأب]])," ",TRIM(الجدول2[[#This Row],[الكنية]]))</f>
        <v>مجد ابراهيم ابراهيم</v>
      </c>
      <c r="H180" s="47" t="s">
        <v>1622</v>
      </c>
      <c r="I180" s="48" t="s">
        <v>1623</v>
      </c>
      <c r="J180" s="47" t="s">
        <v>58</v>
      </c>
      <c r="K180" s="47" t="s">
        <v>59</v>
      </c>
      <c r="L180" s="47" t="s">
        <v>59</v>
      </c>
      <c r="M180" s="47" t="s">
        <v>60</v>
      </c>
      <c r="N180" s="47" t="s">
        <v>1624</v>
      </c>
      <c r="O180" s="49">
        <v>25697</v>
      </c>
      <c r="P180" s="47" t="s">
        <v>1625</v>
      </c>
      <c r="Q180" s="47" t="s">
        <v>63</v>
      </c>
      <c r="R180" s="48" t="s">
        <v>1626</v>
      </c>
      <c r="S180" s="47" t="s">
        <v>109</v>
      </c>
      <c r="T180" s="47">
        <v>1</v>
      </c>
      <c r="U180" s="47">
        <v>3</v>
      </c>
      <c r="V180" s="47" t="s">
        <v>66</v>
      </c>
      <c r="W180" s="47" t="s">
        <v>67</v>
      </c>
      <c r="X180" s="47" t="s">
        <v>68</v>
      </c>
      <c r="Y180" s="47" t="s">
        <v>246</v>
      </c>
      <c r="Z180" s="47" t="s">
        <v>247</v>
      </c>
      <c r="AA180" s="47" t="s">
        <v>248</v>
      </c>
      <c r="AB180" s="47" t="s">
        <v>1627</v>
      </c>
      <c r="AC180" s="47" t="s">
        <v>155</v>
      </c>
      <c r="AD180" s="47" t="s">
        <v>74</v>
      </c>
      <c r="AE180" s="49">
        <v>40887</v>
      </c>
      <c r="AF180" s="47" t="s">
        <v>123</v>
      </c>
      <c r="AG180" s="47"/>
      <c r="AH180" s="47" t="s">
        <v>157</v>
      </c>
      <c r="AI180" s="47" t="s">
        <v>250</v>
      </c>
      <c r="AJ180" s="47"/>
      <c r="AK180" s="47" t="s">
        <v>59</v>
      </c>
      <c r="AL180" s="47" t="s">
        <v>59</v>
      </c>
      <c r="AM180" s="47" t="s">
        <v>99</v>
      </c>
      <c r="AN180" s="47" t="s">
        <v>80</v>
      </c>
      <c r="AO180" s="47"/>
      <c r="AP180" s="47"/>
      <c r="AQ180" s="47" t="s">
        <v>81</v>
      </c>
      <c r="AR180" s="47"/>
      <c r="AS180" s="47" t="s">
        <v>173</v>
      </c>
      <c r="AT180" s="47" t="s">
        <v>250</v>
      </c>
      <c r="AU180" s="47"/>
      <c r="AV180" s="47"/>
      <c r="AW180" s="47"/>
      <c r="AX180" s="47"/>
      <c r="AY180" s="49"/>
      <c r="AZ180" s="47" t="s">
        <v>80</v>
      </c>
      <c r="BA180" s="47"/>
      <c r="BB180" s="47" t="s">
        <v>2359</v>
      </c>
      <c r="BC180" s="47" t="s">
        <v>2542</v>
      </c>
      <c r="BD180" s="47">
        <v>526469656</v>
      </c>
      <c r="BE180" s="50">
        <v>12328</v>
      </c>
      <c r="BF180" s="53">
        <v>1136805</v>
      </c>
    </row>
    <row r="181" spans="1:58" s="51" customFormat="1" ht="23.4" hidden="1" x14ac:dyDescent="0.25">
      <c r="A181" s="46">
        <v>180</v>
      </c>
      <c r="B181" s="47">
        <v>7654</v>
      </c>
      <c r="C181" s="47"/>
      <c r="D181" s="47" t="s">
        <v>1628</v>
      </c>
      <c r="E181" s="47" t="s">
        <v>1205</v>
      </c>
      <c r="F181" s="47" t="s">
        <v>131</v>
      </c>
      <c r="G181" s="47" t="str">
        <f>CONCATENATE(TRIM(الجدول2[[#This Row],[الاسم الأول]])," ",TRIM(الجدول2[[#This Row],[اسم الأب]])," ",TRIM(الجدول2[[#This Row],[الكنية]]))</f>
        <v>محاسن حافظ علي</v>
      </c>
      <c r="H181" s="47" t="s">
        <v>1629</v>
      </c>
      <c r="I181" s="48" t="s">
        <v>1630</v>
      </c>
      <c r="J181" s="47" t="s">
        <v>58</v>
      </c>
      <c r="K181" s="47" t="s">
        <v>59</v>
      </c>
      <c r="L181" s="47" t="s">
        <v>59</v>
      </c>
      <c r="M181" s="47" t="s">
        <v>60</v>
      </c>
      <c r="N181" s="47" t="s">
        <v>59</v>
      </c>
      <c r="O181" s="49">
        <v>30704</v>
      </c>
      <c r="P181" s="47" t="s">
        <v>1208</v>
      </c>
      <c r="Q181" s="47" t="s">
        <v>179</v>
      </c>
      <c r="R181" s="48" t="s">
        <v>1631</v>
      </c>
      <c r="S181" s="47" t="s">
        <v>109</v>
      </c>
      <c r="T181" s="47"/>
      <c r="U181" s="47">
        <v>3</v>
      </c>
      <c r="V181" s="47" t="s">
        <v>66</v>
      </c>
      <c r="W181" s="47" t="s">
        <v>67</v>
      </c>
      <c r="X181" s="47" t="s">
        <v>68</v>
      </c>
      <c r="Y181" s="47" t="s">
        <v>726</v>
      </c>
      <c r="Z181" s="47"/>
      <c r="AA181" s="47"/>
      <c r="AB181" s="47" t="s">
        <v>212</v>
      </c>
      <c r="AC181" s="47" t="s">
        <v>155</v>
      </c>
      <c r="AD181" s="47" t="s">
        <v>74</v>
      </c>
      <c r="AE181" s="49">
        <v>43905</v>
      </c>
      <c r="AF181" s="47" t="s">
        <v>156</v>
      </c>
      <c r="AG181" s="47"/>
      <c r="AH181" s="47" t="s">
        <v>140</v>
      </c>
      <c r="AI181" s="47" t="s">
        <v>143</v>
      </c>
      <c r="AJ181" s="47"/>
      <c r="AK181" s="47" t="s">
        <v>59</v>
      </c>
      <c r="AL181" s="47" t="s">
        <v>59</v>
      </c>
      <c r="AM181" s="47" t="s">
        <v>99</v>
      </c>
      <c r="AN181" s="47" t="s">
        <v>80</v>
      </c>
      <c r="AO181" s="47"/>
      <c r="AP181" s="47"/>
      <c r="AQ181" s="47" t="s">
        <v>81</v>
      </c>
      <c r="AR181" s="47"/>
      <c r="AS181" s="47" t="s">
        <v>82</v>
      </c>
      <c r="AT181" s="47" t="s">
        <v>128</v>
      </c>
      <c r="AU181" s="47" t="s">
        <v>83</v>
      </c>
      <c r="AV181" s="47"/>
      <c r="AW181" s="47"/>
      <c r="AX181" s="47" t="s">
        <v>129</v>
      </c>
      <c r="AY181" s="49">
        <v>37086</v>
      </c>
      <c r="AZ181" s="47" t="s">
        <v>80</v>
      </c>
      <c r="BA181" s="47"/>
      <c r="BB181" s="47" t="s">
        <v>2359</v>
      </c>
      <c r="BC181" s="47" t="s">
        <v>2542</v>
      </c>
      <c r="BD181" s="47">
        <v>524039752</v>
      </c>
      <c r="BE181" s="50">
        <v>5576</v>
      </c>
      <c r="BF181" s="53">
        <v>993324</v>
      </c>
    </row>
    <row r="182" spans="1:58" s="51" customFormat="1" ht="23.4" hidden="1" x14ac:dyDescent="0.25">
      <c r="A182" s="46">
        <v>181</v>
      </c>
      <c r="B182" s="47">
        <v>7765</v>
      </c>
      <c r="C182" s="47"/>
      <c r="D182" s="47" t="s">
        <v>115</v>
      </c>
      <c r="E182" s="47" t="s">
        <v>86</v>
      </c>
      <c r="F182" s="47" t="s">
        <v>411</v>
      </c>
      <c r="G182" s="47" t="str">
        <f>CONCATENATE(TRIM(الجدول2[[#This Row],[الاسم الأول]])," ",TRIM(الجدول2[[#This Row],[اسم الأب]])," ",TRIM(الجدول2[[#This Row],[الكنية]]))</f>
        <v>محمد احمد سليمان</v>
      </c>
      <c r="H182" s="47" t="s">
        <v>1632</v>
      </c>
      <c r="I182" s="48" t="s">
        <v>1633</v>
      </c>
      <c r="J182" s="47" t="s">
        <v>58</v>
      </c>
      <c r="K182" s="47" t="s">
        <v>59</v>
      </c>
      <c r="L182" s="47" t="s">
        <v>164</v>
      </c>
      <c r="M182" s="47" t="s">
        <v>165</v>
      </c>
      <c r="N182" s="47" t="s">
        <v>1634</v>
      </c>
      <c r="O182" s="49">
        <v>25024</v>
      </c>
      <c r="P182" s="47" t="s">
        <v>1635</v>
      </c>
      <c r="Q182" s="47" t="s">
        <v>63</v>
      </c>
      <c r="R182" s="48"/>
      <c r="S182" s="47" t="s">
        <v>109</v>
      </c>
      <c r="T182" s="47">
        <v>1</v>
      </c>
      <c r="U182" s="47">
        <v>2</v>
      </c>
      <c r="V182" s="47" t="s">
        <v>66</v>
      </c>
      <c r="W182" s="47" t="s">
        <v>67</v>
      </c>
      <c r="X182" s="47" t="s">
        <v>68</v>
      </c>
      <c r="Y182" s="47" t="s">
        <v>246</v>
      </c>
      <c r="Z182" s="47"/>
      <c r="AA182" s="47"/>
      <c r="AB182" s="47" t="s">
        <v>249</v>
      </c>
      <c r="AC182" s="47" t="s">
        <v>73</v>
      </c>
      <c r="AD182" s="47" t="s">
        <v>1636</v>
      </c>
      <c r="AE182" s="49">
        <v>41122</v>
      </c>
      <c r="AF182" s="47" t="s">
        <v>123</v>
      </c>
      <c r="AG182" s="47"/>
      <c r="AH182" s="47" t="s">
        <v>1007</v>
      </c>
      <c r="AI182" s="47" t="s">
        <v>250</v>
      </c>
      <c r="AJ182" s="47"/>
      <c r="AK182" s="47" t="s">
        <v>59</v>
      </c>
      <c r="AL182" s="47" t="s">
        <v>59</v>
      </c>
      <c r="AM182" s="47" t="s">
        <v>99</v>
      </c>
      <c r="AN182" s="47" t="s">
        <v>83</v>
      </c>
      <c r="AO182" s="47" t="s">
        <v>1637</v>
      </c>
      <c r="AP182" s="47" t="s">
        <v>342</v>
      </c>
      <c r="AQ182" s="47" t="s">
        <v>81</v>
      </c>
      <c r="AR182" s="47"/>
      <c r="AS182" s="47"/>
      <c r="AT182" s="47" t="s">
        <v>250</v>
      </c>
      <c r="AU182" s="47"/>
      <c r="AV182" s="47"/>
      <c r="AW182" s="47"/>
      <c r="AX182" s="47"/>
      <c r="AY182" s="49"/>
      <c r="AZ182" s="47" t="s">
        <v>80</v>
      </c>
      <c r="BA182" s="47"/>
      <c r="BB182" s="47" t="s">
        <v>2359</v>
      </c>
      <c r="BC182" s="47" t="s">
        <v>2542</v>
      </c>
      <c r="BD182" s="47">
        <v>528219466</v>
      </c>
      <c r="BE182" s="50">
        <v>23732</v>
      </c>
      <c r="BF182" s="53">
        <v>1185000</v>
      </c>
    </row>
    <row r="183" spans="1:58" s="51" customFormat="1" ht="23.4" hidden="1" x14ac:dyDescent="0.25">
      <c r="A183" s="46">
        <v>182</v>
      </c>
      <c r="B183" s="47">
        <v>8031</v>
      </c>
      <c r="C183" s="47">
        <v>1639569</v>
      </c>
      <c r="D183" s="47" t="s">
        <v>115</v>
      </c>
      <c r="E183" s="47" t="s">
        <v>693</v>
      </c>
      <c r="F183" s="47" t="s">
        <v>817</v>
      </c>
      <c r="G183" s="47" t="str">
        <f>CONCATENATE(TRIM(الجدول2[[#This Row],[الاسم الأول]])," ",TRIM(الجدول2[[#This Row],[اسم الأب]])," ",TRIM(الجدول2[[#This Row],[الكنية]]))</f>
        <v>محمد رامح مرهج</v>
      </c>
      <c r="H183" s="47" t="s">
        <v>1638</v>
      </c>
      <c r="I183" s="48" t="s">
        <v>1639</v>
      </c>
      <c r="J183" s="47" t="s">
        <v>58</v>
      </c>
      <c r="K183" s="47" t="s">
        <v>59</v>
      </c>
      <c r="L183" s="47" t="s">
        <v>59</v>
      </c>
      <c r="M183" s="47" t="s">
        <v>60</v>
      </c>
      <c r="N183" s="47" t="s">
        <v>1640</v>
      </c>
      <c r="O183" s="49">
        <v>33880</v>
      </c>
      <c r="P183" s="47" t="s">
        <v>1641</v>
      </c>
      <c r="Q183" s="47" t="s">
        <v>63</v>
      </c>
      <c r="R183" s="48" t="s">
        <v>1642</v>
      </c>
      <c r="S183" s="47" t="s">
        <v>109</v>
      </c>
      <c r="T183" s="47">
        <v>1</v>
      </c>
      <c r="U183" s="47">
        <v>2</v>
      </c>
      <c r="V183" s="47" t="s">
        <v>66</v>
      </c>
      <c r="W183" s="47" t="s">
        <v>67</v>
      </c>
      <c r="X183" s="47" t="s">
        <v>68</v>
      </c>
      <c r="Y183" s="47" t="s">
        <v>152</v>
      </c>
      <c r="Z183" s="47" t="s">
        <v>153</v>
      </c>
      <c r="AA183" s="47"/>
      <c r="AB183" s="47" t="s">
        <v>249</v>
      </c>
      <c r="AC183" s="47" t="s">
        <v>155</v>
      </c>
      <c r="AD183" s="47" t="s">
        <v>74</v>
      </c>
      <c r="AE183" s="49">
        <v>45054</v>
      </c>
      <c r="AF183" s="47" t="s">
        <v>156</v>
      </c>
      <c r="AG183" s="47"/>
      <c r="AH183" s="47" t="s">
        <v>157</v>
      </c>
      <c r="AI183" s="47" t="s">
        <v>250</v>
      </c>
      <c r="AJ183" s="47"/>
      <c r="AK183" s="47" t="s">
        <v>59</v>
      </c>
      <c r="AL183" s="47" t="s">
        <v>59</v>
      </c>
      <c r="AM183" s="47" t="s">
        <v>99</v>
      </c>
      <c r="AN183" s="47" t="s">
        <v>80</v>
      </c>
      <c r="AO183" s="47"/>
      <c r="AP183" s="47"/>
      <c r="AQ183" s="47" t="s">
        <v>81</v>
      </c>
      <c r="AR183" s="47"/>
      <c r="AS183" s="47" t="s">
        <v>82</v>
      </c>
      <c r="AT183" s="47" t="s">
        <v>250</v>
      </c>
      <c r="AU183" s="47"/>
      <c r="AV183" s="47"/>
      <c r="AW183" s="47"/>
      <c r="AX183" s="47"/>
      <c r="AY183" s="49"/>
      <c r="AZ183" s="47" t="s">
        <v>80</v>
      </c>
      <c r="BA183" s="47"/>
      <c r="BB183" s="47" t="s">
        <v>2358</v>
      </c>
      <c r="BC183" s="47" t="s">
        <v>2542</v>
      </c>
      <c r="BD183" s="47">
        <v>523280562</v>
      </c>
      <c r="BE183" s="50">
        <v>3608</v>
      </c>
      <c r="BF183" s="53">
        <v>918870</v>
      </c>
    </row>
    <row r="184" spans="1:58" s="51" customFormat="1" ht="23.4" hidden="1" x14ac:dyDescent="0.25">
      <c r="A184" s="46">
        <v>183</v>
      </c>
      <c r="B184" s="47">
        <v>8086</v>
      </c>
      <c r="C184" s="47">
        <v>1470329</v>
      </c>
      <c r="D184" s="47" t="s">
        <v>115</v>
      </c>
      <c r="E184" s="47" t="s">
        <v>334</v>
      </c>
      <c r="F184" s="47" t="s">
        <v>131</v>
      </c>
      <c r="G184" s="47" t="str">
        <f>CONCATENATE(TRIM(الجدول2[[#This Row],[الاسم الأول]])," ",TRIM(الجدول2[[#This Row],[اسم الأب]])," ",TRIM(الجدول2[[#This Row],[الكنية]]))</f>
        <v>محمد سلمان علي</v>
      </c>
      <c r="H184" s="47" t="s">
        <v>1643</v>
      </c>
      <c r="I184" s="48" t="s">
        <v>1644</v>
      </c>
      <c r="J184" s="47" t="s">
        <v>58</v>
      </c>
      <c r="K184" s="47" t="s">
        <v>59</v>
      </c>
      <c r="L184" s="47" t="s">
        <v>164</v>
      </c>
      <c r="M184" s="47" t="s">
        <v>165</v>
      </c>
      <c r="N184" s="47" t="s">
        <v>164</v>
      </c>
      <c r="O184" s="49">
        <v>31667</v>
      </c>
      <c r="P184" s="47" t="s">
        <v>1645</v>
      </c>
      <c r="Q184" s="47" t="s">
        <v>63</v>
      </c>
      <c r="R184" s="48" t="s">
        <v>1646</v>
      </c>
      <c r="S184" s="47" t="s">
        <v>65</v>
      </c>
      <c r="T184" s="47"/>
      <c r="U184" s="47"/>
      <c r="V184" s="47" t="s">
        <v>66</v>
      </c>
      <c r="W184" s="47" t="s">
        <v>67</v>
      </c>
      <c r="X184" s="47" t="s">
        <v>68</v>
      </c>
      <c r="Y184" s="47" t="s">
        <v>210</v>
      </c>
      <c r="Z184" s="47" t="s">
        <v>822</v>
      </c>
      <c r="AA184" s="47"/>
      <c r="AB184" s="47" t="s">
        <v>1647</v>
      </c>
      <c r="AC184" s="47" t="s">
        <v>73</v>
      </c>
      <c r="AD184" s="47" t="s">
        <v>74</v>
      </c>
      <c r="AE184" s="49">
        <v>43167</v>
      </c>
      <c r="AF184" s="47" t="s">
        <v>123</v>
      </c>
      <c r="AG184" s="47"/>
      <c r="AH184" s="47" t="s">
        <v>2277</v>
      </c>
      <c r="AI184" s="47" t="s">
        <v>327</v>
      </c>
      <c r="AJ184" s="47" t="s">
        <v>1559</v>
      </c>
      <c r="AK184" s="47" t="s">
        <v>59</v>
      </c>
      <c r="AL184" s="47" t="s">
        <v>59</v>
      </c>
      <c r="AM184" s="47" t="s">
        <v>99</v>
      </c>
      <c r="AN184" s="47" t="s">
        <v>80</v>
      </c>
      <c r="AO184" s="47"/>
      <c r="AP184" s="47"/>
      <c r="AQ184" s="47" t="s">
        <v>81</v>
      </c>
      <c r="AR184" s="47"/>
      <c r="AS184" s="47" t="s">
        <v>142</v>
      </c>
      <c r="AT184" s="47" t="s">
        <v>327</v>
      </c>
      <c r="AU184" s="47" t="s">
        <v>83</v>
      </c>
      <c r="AV184" s="47" t="s">
        <v>650</v>
      </c>
      <c r="AW184" s="47" t="s">
        <v>328</v>
      </c>
      <c r="AX184" s="47" t="s">
        <v>1648</v>
      </c>
      <c r="AY184" s="49">
        <v>44035</v>
      </c>
      <c r="AZ184" s="47" t="s">
        <v>83</v>
      </c>
      <c r="BA184" s="47"/>
      <c r="BB184" s="47" t="s">
        <v>2359</v>
      </c>
      <c r="BC184" s="47" t="s">
        <v>2542</v>
      </c>
      <c r="BD184" s="47">
        <v>523290593</v>
      </c>
      <c r="BE184" s="50">
        <v>3645</v>
      </c>
      <c r="BF184" s="53">
        <v>1240065</v>
      </c>
    </row>
    <row r="185" spans="1:58" s="51" customFormat="1" ht="23.4" hidden="1" x14ac:dyDescent="0.25">
      <c r="A185" s="46">
        <v>184</v>
      </c>
      <c r="B185" s="47">
        <v>8139</v>
      </c>
      <c r="C185" s="47">
        <v>1634093</v>
      </c>
      <c r="D185" s="47" t="s">
        <v>115</v>
      </c>
      <c r="E185" s="47" t="s">
        <v>1649</v>
      </c>
      <c r="F185" s="47" t="s">
        <v>161</v>
      </c>
      <c r="G185" s="47" t="str">
        <f>CONCATENATE(TRIM(الجدول2[[#This Row],[الاسم الأول]])," ",TRIM(الجدول2[[#This Row],[اسم الأب]])," ",TRIM(الجدول2[[#This Row],[الكنية]]))</f>
        <v>محمد صارم ملحم</v>
      </c>
      <c r="H185" s="47" t="s">
        <v>1650</v>
      </c>
      <c r="I185" s="48" t="s">
        <v>1651</v>
      </c>
      <c r="J185" s="47" t="s">
        <v>58</v>
      </c>
      <c r="K185" s="47" t="s">
        <v>59</v>
      </c>
      <c r="L185" s="47" t="s">
        <v>59</v>
      </c>
      <c r="M185" s="47" t="s">
        <v>60</v>
      </c>
      <c r="N185" s="47" t="s">
        <v>1652</v>
      </c>
      <c r="O185" s="49">
        <v>35816</v>
      </c>
      <c r="P185" s="47" t="s">
        <v>1653</v>
      </c>
      <c r="Q185" s="47" t="s">
        <v>63</v>
      </c>
      <c r="R185" s="48" t="s">
        <v>1654</v>
      </c>
      <c r="S185" s="47" t="s">
        <v>109</v>
      </c>
      <c r="T185" s="47">
        <v>1</v>
      </c>
      <c r="U185" s="47">
        <v>2</v>
      </c>
      <c r="V185" s="47" t="s">
        <v>66</v>
      </c>
      <c r="W185" s="47" t="s">
        <v>67</v>
      </c>
      <c r="X185" s="47" t="s">
        <v>68</v>
      </c>
      <c r="Y185" s="47" t="s">
        <v>565</v>
      </c>
      <c r="Z185" s="47"/>
      <c r="AA185" s="47"/>
      <c r="AB185" s="47" t="s">
        <v>72</v>
      </c>
      <c r="AC185" s="47" t="s">
        <v>73</v>
      </c>
      <c r="AD185" s="47" t="s">
        <v>74</v>
      </c>
      <c r="AE185" s="49">
        <v>45522</v>
      </c>
      <c r="AF185" s="47" t="s">
        <v>75</v>
      </c>
      <c r="AG185" s="47"/>
      <c r="AH185" s="47" t="s">
        <v>2277</v>
      </c>
      <c r="AI185" s="47" t="s">
        <v>76</v>
      </c>
      <c r="AJ185" s="47" t="s">
        <v>1296</v>
      </c>
      <c r="AK185" s="47" t="s">
        <v>59</v>
      </c>
      <c r="AL185" s="47" t="s">
        <v>164</v>
      </c>
      <c r="AM185" s="47" t="s">
        <v>99</v>
      </c>
      <c r="AN185" s="47" t="s">
        <v>80</v>
      </c>
      <c r="AO185" s="47"/>
      <c r="AP185" s="47"/>
      <c r="AQ185" s="47" t="s">
        <v>81</v>
      </c>
      <c r="AR185" s="47"/>
      <c r="AS185" s="47" t="s">
        <v>173</v>
      </c>
      <c r="AT185" s="47" t="s">
        <v>76</v>
      </c>
      <c r="AU185" s="47" t="s">
        <v>83</v>
      </c>
      <c r="AV185" s="47" t="s">
        <v>425</v>
      </c>
      <c r="AW185" s="47" t="s">
        <v>1296</v>
      </c>
      <c r="AX185" s="47" t="s">
        <v>1296</v>
      </c>
      <c r="AY185" s="49">
        <v>44435</v>
      </c>
      <c r="AZ185" s="47" t="s">
        <v>80</v>
      </c>
      <c r="BA185" s="47"/>
      <c r="BB185" s="47" t="s">
        <v>2359</v>
      </c>
      <c r="BC185" s="47" t="s">
        <v>2542</v>
      </c>
      <c r="BD185" s="47">
        <v>526099910</v>
      </c>
      <c r="BE185" s="50">
        <v>11055</v>
      </c>
      <c r="BF185" s="53">
        <v>943000</v>
      </c>
    </row>
    <row r="186" spans="1:58" s="51" customFormat="1" ht="23.4" hidden="1" x14ac:dyDescent="0.25">
      <c r="A186" s="46">
        <v>185</v>
      </c>
      <c r="B186" s="47">
        <v>8292</v>
      </c>
      <c r="C186" s="47">
        <v>1214077</v>
      </c>
      <c r="D186" s="47" t="s">
        <v>115</v>
      </c>
      <c r="E186" s="47" t="s">
        <v>131</v>
      </c>
      <c r="F186" s="47" t="s">
        <v>351</v>
      </c>
      <c r="G186" s="47" t="str">
        <f>CONCATENATE(TRIM(الجدول2[[#This Row],[الاسم الأول]])," ",TRIM(الجدول2[[#This Row],[اسم الأب]])," ",TRIM(الجدول2[[#This Row],[الكنية]]))</f>
        <v>محمد علي حاج معلا</v>
      </c>
      <c r="H186" s="47" t="s">
        <v>352</v>
      </c>
      <c r="I186" s="48" t="s">
        <v>1655</v>
      </c>
      <c r="J186" s="47" t="s">
        <v>58</v>
      </c>
      <c r="K186" s="47" t="s">
        <v>59</v>
      </c>
      <c r="L186" s="47" t="s">
        <v>59</v>
      </c>
      <c r="M186" s="47" t="s">
        <v>60</v>
      </c>
      <c r="N186" s="47" t="s">
        <v>59</v>
      </c>
      <c r="O186" s="49">
        <v>31979</v>
      </c>
      <c r="P186" s="47" t="s">
        <v>354</v>
      </c>
      <c r="Q186" s="47" t="s">
        <v>63</v>
      </c>
      <c r="R186" s="48" t="s">
        <v>1656</v>
      </c>
      <c r="S186" s="47" t="s">
        <v>109</v>
      </c>
      <c r="T186" s="47">
        <v>1</v>
      </c>
      <c r="U186" s="47">
        <v>2</v>
      </c>
      <c r="V186" s="47" t="s">
        <v>66</v>
      </c>
      <c r="W186" s="47" t="s">
        <v>67</v>
      </c>
      <c r="X186" s="47" t="s">
        <v>68</v>
      </c>
      <c r="Y186" s="47" t="s">
        <v>210</v>
      </c>
      <c r="Z186" s="47" t="s">
        <v>521</v>
      </c>
      <c r="AA186" s="47" t="s">
        <v>522</v>
      </c>
      <c r="AB186" s="47" t="s">
        <v>491</v>
      </c>
      <c r="AC186" s="47" t="s">
        <v>73</v>
      </c>
      <c r="AD186" s="47" t="s">
        <v>74</v>
      </c>
      <c r="AE186" s="49">
        <v>39813</v>
      </c>
      <c r="AF186" s="47" t="s">
        <v>123</v>
      </c>
      <c r="AG186" s="47"/>
      <c r="AH186" s="47" t="s">
        <v>2277</v>
      </c>
      <c r="AI186" s="47" t="s">
        <v>327</v>
      </c>
      <c r="AJ186" s="47" t="s">
        <v>1657</v>
      </c>
      <c r="AK186" s="47" t="s">
        <v>59</v>
      </c>
      <c r="AL186" s="47" t="s">
        <v>59</v>
      </c>
      <c r="AM186" s="47" t="s">
        <v>99</v>
      </c>
      <c r="AN186" s="47" t="s">
        <v>83</v>
      </c>
      <c r="AO186" s="47" t="s">
        <v>1658</v>
      </c>
      <c r="AP186" s="47" t="s">
        <v>526</v>
      </c>
      <c r="AQ186" s="47" t="s">
        <v>81</v>
      </c>
      <c r="AR186" s="47"/>
      <c r="AS186" s="47" t="s">
        <v>142</v>
      </c>
      <c r="AT186" s="47" t="s">
        <v>327</v>
      </c>
      <c r="AU186" s="47" t="s">
        <v>83</v>
      </c>
      <c r="AV186" s="47" t="s">
        <v>59</v>
      </c>
      <c r="AW186" s="47" t="s">
        <v>493</v>
      </c>
      <c r="AX186" s="47" t="s">
        <v>1659</v>
      </c>
      <c r="AY186" s="49">
        <v>40841</v>
      </c>
      <c r="AZ186" s="47" t="s">
        <v>80</v>
      </c>
      <c r="BA186" s="47"/>
      <c r="BB186" s="47" t="s">
        <v>2359</v>
      </c>
      <c r="BC186" s="47" t="s">
        <v>2542</v>
      </c>
      <c r="BD186" s="47">
        <v>523273488</v>
      </c>
      <c r="BE186" s="50">
        <v>3578</v>
      </c>
      <c r="BF186" s="53">
        <v>1344480</v>
      </c>
    </row>
    <row r="187" spans="1:58" s="51" customFormat="1" ht="23.4" x14ac:dyDescent="0.25">
      <c r="A187" s="46">
        <v>186</v>
      </c>
      <c r="B187" s="47">
        <v>8315</v>
      </c>
      <c r="C187" s="47"/>
      <c r="D187" s="47" t="s">
        <v>115</v>
      </c>
      <c r="E187" s="47" t="s">
        <v>131</v>
      </c>
      <c r="F187" s="47" t="s">
        <v>466</v>
      </c>
      <c r="G187" s="47" t="str">
        <f>CONCATENATE(TRIM(الجدول2[[#This Row],[الاسم الأول]])," ",TRIM(الجدول2[[#This Row],[اسم الأب]])," ",TRIM(الجدول2[[#This Row],[الكنية]]))</f>
        <v>محمد علي عمران</v>
      </c>
      <c r="H187" s="47" t="s">
        <v>1660</v>
      </c>
      <c r="I187" s="48" t="s">
        <v>1661</v>
      </c>
      <c r="J187" s="47" t="s">
        <v>58</v>
      </c>
      <c r="K187" s="47" t="s">
        <v>59</v>
      </c>
      <c r="L187" s="47" t="s">
        <v>164</v>
      </c>
      <c r="M187" s="47" t="s">
        <v>165</v>
      </c>
      <c r="N187" s="47" t="s">
        <v>1662</v>
      </c>
      <c r="O187" s="49">
        <v>32149</v>
      </c>
      <c r="P187" s="47" t="s">
        <v>1663</v>
      </c>
      <c r="Q187" s="47" t="s">
        <v>63</v>
      </c>
      <c r="R187" s="48"/>
      <c r="S187" s="47" t="s">
        <v>65</v>
      </c>
      <c r="T187" s="47"/>
      <c r="U187" s="47"/>
      <c r="V187" s="47" t="s">
        <v>66</v>
      </c>
      <c r="W187" s="47" t="s">
        <v>67</v>
      </c>
      <c r="X187" s="47" t="s">
        <v>68</v>
      </c>
      <c r="Y187" s="47" t="s">
        <v>152</v>
      </c>
      <c r="Z187" s="47"/>
      <c r="AA187" s="47"/>
      <c r="AB187" s="47" t="s">
        <v>491</v>
      </c>
      <c r="AC187" s="47" t="s">
        <v>73</v>
      </c>
      <c r="AD187" s="47" t="s">
        <v>1573</v>
      </c>
      <c r="AE187" s="49">
        <v>41294</v>
      </c>
      <c r="AF187" s="47" t="s">
        <v>123</v>
      </c>
      <c r="AG187" s="47"/>
      <c r="AH187" s="47" t="s">
        <v>2277</v>
      </c>
      <c r="AI187" s="47" t="s">
        <v>327</v>
      </c>
      <c r="AJ187" s="47" t="s">
        <v>328</v>
      </c>
      <c r="AK187" s="47" t="s">
        <v>59</v>
      </c>
      <c r="AL187" s="47" t="s">
        <v>59</v>
      </c>
      <c r="AM187" s="47" t="s">
        <v>99</v>
      </c>
      <c r="AN187" s="47" t="s">
        <v>80</v>
      </c>
      <c r="AO187" s="47"/>
      <c r="AP187" s="47"/>
      <c r="AQ187" s="47" t="s">
        <v>81</v>
      </c>
      <c r="AR187" s="47"/>
      <c r="AS187" s="47"/>
      <c r="AT187" s="47" t="s">
        <v>327</v>
      </c>
      <c r="AU187" s="47" t="s">
        <v>83</v>
      </c>
      <c r="AV187" s="47" t="s">
        <v>184</v>
      </c>
      <c r="AW187" s="47" t="s">
        <v>1664</v>
      </c>
      <c r="AX187" s="47" t="s">
        <v>1648</v>
      </c>
      <c r="AY187" s="49">
        <v>40311</v>
      </c>
      <c r="AZ187" s="47" t="s">
        <v>80</v>
      </c>
      <c r="BA187" s="47"/>
      <c r="BB187" s="47"/>
      <c r="BC187" s="47" t="s">
        <v>2542</v>
      </c>
      <c r="BD187" s="47">
        <v>528134372</v>
      </c>
      <c r="BE187" s="50">
        <v>22841</v>
      </c>
      <c r="BF187" s="53">
        <v>0</v>
      </c>
    </row>
    <row r="188" spans="1:58" s="51" customFormat="1" ht="23.4" hidden="1" x14ac:dyDescent="0.25">
      <c r="A188" s="46">
        <v>187</v>
      </c>
      <c r="B188" s="47">
        <v>8323</v>
      </c>
      <c r="C188" s="47">
        <v>77125</v>
      </c>
      <c r="D188" s="47" t="s">
        <v>115</v>
      </c>
      <c r="E188" s="47" t="s">
        <v>131</v>
      </c>
      <c r="F188" s="47" t="s">
        <v>1665</v>
      </c>
      <c r="G188" s="47" t="str">
        <f>CONCATENATE(TRIM(الجدول2[[#This Row],[الاسم الأول]])," ",TRIM(الجدول2[[#This Row],[اسم الأب]])," ",TRIM(الجدول2[[#This Row],[الكنية]]))</f>
        <v>محمد علي معلا</v>
      </c>
      <c r="H188" s="47" t="s">
        <v>1666</v>
      </c>
      <c r="I188" s="48" t="s">
        <v>1667</v>
      </c>
      <c r="J188" s="47" t="s">
        <v>58</v>
      </c>
      <c r="K188" s="47" t="s">
        <v>59</v>
      </c>
      <c r="L188" s="47" t="s">
        <v>90</v>
      </c>
      <c r="M188" s="47" t="s">
        <v>298</v>
      </c>
      <c r="N188" s="47" t="s">
        <v>395</v>
      </c>
      <c r="O188" s="49">
        <v>24493</v>
      </c>
      <c r="P188" s="47" t="s">
        <v>1668</v>
      </c>
      <c r="Q188" s="47" t="s">
        <v>63</v>
      </c>
      <c r="R188" s="48" t="s">
        <v>1669</v>
      </c>
      <c r="S188" s="47" t="s">
        <v>109</v>
      </c>
      <c r="T188" s="47">
        <v>1</v>
      </c>
      <c r="U188" s="47">
        <v>3</v>
      </c>
      <c r="V188" s="47" t="s">
        <v>66</v>
      </c>
      <c r="W188" s="47" t="s">
        <v>67</v>
      </c>
      <c r="X188" s="47" t="s">
        <v>68</v>
      </c>
      <c r="Y188" s="47" t="s">
        <v>501</v>
      </c>
      <c r="Z188" s="47"/>
      <c r="AA188" s="47"/>
      <c r="AB188" s="47" t="s">
        <v>1670</v>
      </c>
      <c r="AC188" s="47" t="s">
        <v>73</v>
      </c>
      <c r="AD188" s="47" t="s">
        <v>74</v>
      </c>
      <c r="AE188" s="49">
        <v>35249</v>
      </c>
      <c r="AF188" s="47" t="s">
        <v>123</v>
      </c>
      <c r="AG188" s="47"/>
      <c r="AH188" s="47" t="s">
        <v>2277</v>
      </c>
      <c r="AI188" s="47" t="s">
        <v>327</v>
      </c>
      <c r="AJ188" s="47" t="s">
        <v>686</v>
      </c>
      <c r="AK188" s="47" t="s">
        <v>59</v>
      </c>
      <c r="AL188" s="47" t="s">
        <v>90</v>
      </c>
      <c r="AM188" s="47" t="s">
        <v>99</v>
      </c>
      <c r="AN188" s="47" t="s">
        <v>83</v>
      </c>
      <c r="AO188" s="47" t="s">
        <v>1671</v>
      </c>
      <c r="AP188" s="47" t="s">
        <v>1672</v>
      </c>
      <c r="AQ188" s="47" t="s">
        <v>81</v>
      </c>
      <c r="AR188" s="47"/>
      <c r="AS188" s="47" t="s">
        <v>173</v>
      </c>
      <c r="AT188" s="47" t="s">
        <v>327</v>
      </c>
      <c r="AU188" s="47" t="s">
        <v>83</v>
      </c>
      <c r="AV188" s="47" t="s">
        <v>61</v>
      </c>
      <c r="AW188" s="47" t="s">
        <v>686</v>
      </c>
      <c r="AX188" s="47" t="s">
        <v>686</v>
      </c>
      <c r="AY188" s="49">
        <v>33078</v>
      </c>
      <c r="AZ188" s="47" t="s">
        <v>80</v>
      </c>
      <c r="BA188" s="47"/>
      <c r="BB188" s="47" t="s">
        <v>2359</v>
      </c>
      <c r="BC188" s="47" t="s">
        <v>2542</v>
      </c>
      <c r="BD188" s="47">
        <v>523979691</v>
      </c>
      <c r="BE188" s="50">
        <v>5039</v>
      </c>
      <c r="BF188" s="53">
        <v>1409000</v>
      </c>
    </row>
    <row r="189" spans="1:58" s="51" customFormat="1" ht="23.4" hidden="1" x14ac:dyDescent="0.25">
      <c r="A189" s="46">
        <v>188</v>
      </c>
      <c r="B189" s="47">
        <v>8415</v>
      </c>
      <c r="C189" s="47">
        <v>1634098</v>
      </c>
      <c r="D189" s="47" t="s">
        <v>115</v>
      </c>
      <c r="E189" s="47" t="s">
        <v>882</v>
      </c>
      <c r="F189" s="47" t="s">
        <v>1673</v>
      </c>
      <c r="G189" s="47" t="str">
        <f>CONCATENATE(TRIM(الجدول2[[#This Row],[الاسم الأول]])," ",TRIM(الجدول2[[#This Row],[اسم الأب]])," ",TRIM(الجدول2[[#This Row],[الكنية]]))</f>
        <v>محمد مالك اسطى</v>
      </c>
      <c r="H189" s="47" t="s">
        <v>1674</v>
      </c>
      <c r="I189" s="48" t="s">
        <v>1675</v>
      </c>
      <c r="J189" s="47" t="s">
        <v>58</v>
      </c>
      <c r="K189" s="47" t="s">
        <v>59</v>
      </c>
      <c r="L189" s="47" t="s">
        <v>90</v>
      </c>
      <c r="M189" s="47" t="s">
        <v>298</v>
      </c>
      <c r="N189" s="47" t="s">
        <v>1676</v>
      </c>
      <c r="O189" s="49">
        <v>30244</v>
      </c>
      <c r="P189" s="47" t="s">
        <v>1677</v>
      </c>
      <c r="Q189" s="47" t="s">
        <v>63</v>
      </c>
      <c r="R189" s="48" t="s">
        <v>1678</v>
      </c>
      <c r="S189" s="47" t="s">
        <v>109</v>
      </c>
      <c r="T189" s="47">
        <v>1</v>
      </c>
      <c r="U189" s="47">
        <v>3</v>
      </c>
      <c r="V189" s="47" t="s">
        <v>66</v>
      </c>
      <c r="W189" s="47" t="s">
        <v>67</v>
      </c>
      <c r="X189" s="47" t="s">
        <v>68</v>
      </c>
      <c r="Y189" s="47" t="s">
        <v>137</v>
      </c>
      <c r="Z189" s="47"/>
      <c r="AA189" s="47"/>
      <c r="AB189" s="47" t="s">
        <v>491</v>
      </c>
      <c r="AC189" s="47" t="s">
        <v>73</v>
      </c>
      <c r="AD189" s="47" t="s">
        <v>74</v>
      </c>
      <c r="AE189" s="49">
        <v>40862</v>
      </c>
      <c r="AF189" s="47" t="s">
        <v>123</v>
      </c>
      <c r="AG189" s="47"/>
      <c r="AH189" s="47" t="s">
        <v>2277</v>
      </c>
      <c r="AI189" s="47" t="s">
        <v>327</v>
      </c>
      <c r="AJ189" s="47" t="s">
        <v>328</v>
      </c>
      <c r="AK189" s="47" t="s">
        <v>59</v>
      </c>
      <c r="AL189" s="47" t="s">
        <v>90</v>
      </c>
      <c r="AM189" s="47" t="s">
        <v>99</v>
      </c>
      <c r="AN189" s="47" t="s">
        <v>80</v>
      </c>
      <c r="AO189" s="47"/>
      <c r="AP189" s="47"/>
      <c r="AQ189" s="47" t="s">
        <v>81</v>
      </c>
      <c r="AR189" s="47"/>
      <c r="AS189" s="47" t="s">
        <v>82</v>
      </c>
      <c r="AT189" s="47" t="s">
        <v>327</v>
      </c>
      <c r="AU189" s="47" t="s">
        <v>83</v>
      </c>
      <c r="AV189" s="47" t="s">
        <v>184</v>
      </c>
      <c r="AW189" s="47" t="s">
        <v>1679</v>
      </c>
      <c r="AX189" s="47" t="s">
        <v>1559</v>
      </c>
      <c r="AY189" s="49">
        <v>39264</v>
      </c>
      <c r="AZ189" s="47" t="s">
        <v>80</v>
      </c>
      <c r="BA189" s="47" t="s">
        <v>712</v>
      </c>
      <c r="BB189" s="47" t="s">
        <v>2358</v>
      </c>
      <c r="BC189" s="47" t="s">
        <v>2542</v>
      </c>
      <c r="BD189" s="47">
        <v>528054325</v>
      </c>
      <c r="BE189" s="50">
        <v>21785</v>
      </c>
      <c r="BF189" s="53">
        <v>1326186</v>
      </c>
    </row>
    <row r="190" spans="1:58" s="51" customFormat="1" ht="23.4" hidden="1" x14ac:dyDescent="0.25">
      <c r="A190" s="46">
        <v>189</v>
      </c>
      <c r="B190" s="47">
        <v>8575</v>
      </c>
      <c r="C190" s="47">
        <v>1635607</v>
      </c>
      <c r="D190" s="47" t="s">
        <v>115</v>
      </c>
      <c r="E190" s="47" t="s">
        <v>116</v>
      </c>
      <c r="F190" s="47" t="s">
        <v>1680</v>
      </c>
      <c r="G190" s="47" t="str">
        <f>CONCATENATE(TRIM(الجدول2[[#This Row],[الاسم الأول]])," ",TRIM(الجدول2[[#This Row],[اسم الأب]])," ",TRIM(الجدول2[[#This Row],[الكنية]]))</f>
        <v>محمد يوسف عاقل</v>
      </c>
      <c r="H190" s="47" t="s">
        <v>1681</v>
      </c>
      <c r="I190" s="48" t="s">
        <v>1682</v>
      </c>
      <c r="J190" s="47" t="s">
        <v>58</v>
      </c>
      <c r="K190" s="47" t="s">
        <v>59</v>
      </c>
      <c r="L190" s="47" t="s">
        <v>59</v>
      </c>
      <c r="M190" s="47" t="s">
        <v>1683</v>
      </c>
      <c r="N190" s="47" t="s">
        <v>59</v>
      </c>
      <c r="O190" s="49">
        <v>30820</v>
      </c>
      <c r="P190" s="47" t="s">
        <v>1684</v>
      </c>
      <c r="Q190" s="47" t="s">
        <v>63</v>
      </c>
      <c r="R190" s="48" t="s">
        <v>1685</v>
      </c>
      <c r="S190" s="47" t="s">
        <v>109</v>
      </c>
      <c r="T190" s="47">
        <v>1</v>
      </c>
      <c r="U190" s="47">
        <v>1</v>
      </c>
      <c r="V190" s="47" t="s">
        <v>66</v>
      </c>
      <c r="W190" s="47" t="s">
        <v>67</v>
      </c>
      <c r="X190" s="47" t="s">
        <v>68</v>
      </c>
      <c r="Y190" s="47" t="s">
        <v>94</v>
      </c>
      <c r="Z190" s="47" t="s">
        <v>221</v>
      </c>
      <c r="AA190" s="47"/>
      <c r="AB190" s="47" t="s">
        <v>473</v>
      </c>
      <c r="AC190" s="47" t="s">
        <v>73</v>
      </c>
      <c r="AD190" s="47" t="s">
        <v>74</v>
      </c>
      <c r="AE190" s="49">
        <v>40860</v>
      </c>
      <c r="AF190" s="47" t="s">
        <v>123</v>
      </c>
      <c r="AG190" s="47"/>
      <c r="AH190" s="47" t="s">
        <v>124</v>
      </c>
      <c r="AI190" s="47" t="s">
        <v>182</v>
      </c>
      <c r="AJ190" s="47" t="s">
        <v>1686</v>
      </c>
      <c r="AK190" s="47" t="s">
        <v>59</v>
      </c>
      <c r="AL190" s="47" t="s">
        <v>59</v>
      </c>
      <c r="AM190" s="47" t="s">
        <v>99</v>
      </c>
      <c r="AN190" s="47" t="s">
        <v>80</v>
      </c>
      <c r="AO190" s="47"/>
      <c r="AP190" s="47"/>
      <c r="AQ190" s="47" t="s">
        <v>81</v>
      </c>
      <c r="AR190" s="47"/>
      <c r="AS190" s="47" t="s">
        <v>142</v>
      </c>
      <c r="AT190" s="47" t="s">
        <v>182</v>
      </c>
      <c r="AU190" s="47" t="s">
        <v>83</v>
      </c>
      <c r="AV190" s="47" t="s">
        <v>59</v>
      </c>
      <c r="AW190" s="47" t="s">
        <v>1687</v>
      </c>
      <c r="AX190" s="47" t="s">
        <v>1688</v>
      </c>
      <c r="AY190" s="49">
        <v>38920</v>
      </c>
      <c r="AZ190" s="47" t="s">
        <v>80</v>
      </c>
      <c r="BA190" s="47"/>
      <c r="BB190" s="47" t="s">
        <v>2359</v>
      </c>
      <c r="BC190" s="47" t="s">
        <v>2542</v>
      </c>
      <c r="BD190" s="47">
        <v>524057969</v>
      </c>
      <c r="BE190" s="50">
        <v>5737</v>
      </c>
      <c r="BF190" s="53">
        <v>1243000</v>
      </c>
    </row>
    <row r="191" spans="1:58" s="51" customFormat="1" ht="23.4" hidden="1" x14ac:dyDescent="0.25">
      <c r="A191" s="46">
        <v>190</v>
      </c>
      <c r="B191" s="47">
        <v>8583</v>
      </c>
      <c r="C191" s="47"/>
      <c r="D191" s="47" t="s">
        <v>115</v>
      </c>
      <c r="E191" s="47" t="s">
        <v>145</v>
      </c>
      <c r="F191" s="47" t="s">
        <v>583</v>
      </c>
      <c r="G191" s="47" t="str">
        <f>CONCATENATE(TRIM(الجدول2[[#This Row],[الاسم الأول]])," ",TRIM(الجدول2[[#This Row],[اسم الأب]])," ",TRIM(الجدول2[[#This Row],[الكنية]]))</f>
        <v>محمد يونس حيدر</v>
      </c>
      <c r="H191" s="47" t="s">
        <v>1689</v>
      </c>
      <c r="I191" s="48" t="s">
        <v>1690</v>
      </c>
      <c r="J191" s="47" t="s">
        <v>58</v>
      </c>
      <c r="K191" s="47" t="s">
        <v>59</v>
      </c>
      <c r="L191" s="47" t="s">
        <v>59</v>
      </c>
      <c r="M191" s="47" t="s">
        <v>60</v>
      </c>
      <c r="N191" s="47" t="s">
        <v>1691</v>
      </c>
      <c r="O191" s="49">
        <v>29065</v>
      </c>
      <c r="P191" s="47" t="s">
        <v>1692</v>
      </c>
      <c r="Q191" s="47" t="s">
        <v>63</v>
      </c>
      <c r="R191" s="48"/>
      <c r="S191" s="47" t="s">
        <v>65</v>
      </c>
      <c r="T191" s="47"/>
      <c r="U191" s="47"/>
      <c r="V191" s="47" t="s">
        <v>66</v>
      </c>
      <c r="W191" s="47" t="s">
        <v>67</v>
      </c>
      <c r="X191" s="47" t="s">
        <v>68</v>
      </c>
      <c r="Y191" s="47" t="s">
        <v>246</v>
      </c>
      <c r="Z191" s="47"/>
      <c r="AA191" s="47"/>
      <c r="AB191" s="47" t="s">
        <v>249</v>
      </c>
      <c r="AC191" s="47" t="s">
        <v>73</v>
      </c>
      <c r="AD191" s="47" t="s">
        <v>1636</v>
      </c>
      <c r="AE191" s="49">
        <v>41122</v>
      </c>
      <c r="AF191" s="47" t="s">
        <v>123</v>
      </c>
      <c r="AG191" s="47"/>
      <c r="AH191" s="47" t="s">
        <v>157</v>
      </c>
      <c r="AI191" s="47" t="s">
        <v>250</v>
      </c>
      <c r="AJ191" s="47"/>
      <c r="AK191" s="47" t="s">
        <v>59</v>
      </c>
      <c r="AL191" s="47" t="s">
        <v>59</v>
      </c>
      <c r="AM191" s="47" t="s">
        <v>99</v>
      </c>
      <c r="AN191" s="47" t="s">
        <v>80</v>
      </c>
      <c r="AO191" s="47"/>
      <c r="AP191" s="47"/>
      <c r="AQ191" s="47" t="s">
        <v>81</v>
      </c>
      <c r="AR191" s="47"/>
      <c r="AS191" s="47"/>
      <c r="AT191" s="47" t="s">
        <v>143</v>
      </c>
      <c r="AU191" s="47" t="s">
        <v>83</v>
      </c>
      <c r="AV191" s="47"/>
      <c r="AW191" s="47"/>
      <c r="AX191" s="47"/>
      <c r="AY191" s="49">
        <v>34516</v>
      </c>
      <c r="AZ191" s="47" t="s">
        <v>80</v>
      </c>
      <c r="BA191" s="47"/>
      <c r="BB191" s="47" t="s">
        <v>2359</v>
      </c>
      <c r="BC191" s="47" t="s">
        <v>2542</v>
      </c>
      <c r="BD191" s="47">
        <v>528236601</v>
      </c>
      <c r="BE191" s="50">
        <v>23944</v>
      </c>
      <c r="BF191" s="53">
        <v>1185000</v>
      </c>
    </row>
    <row r="192" spans="1:58" s="51" customFormat="1" ht="23.4" hidden="1" x14ac:dyDescent="0.25">
      <c r="A192" s="46">
        <v>191</v>
      </c>
      <c r="B192" s="47">
        <v>8717</v>
      </c>
      <c r="C192" s="47"/>
      <c r="D192" s="47" t="s">
        <v>228</v>
      </c>
      <c r="E192" s="47" t="s">
        <v>115</v>
      </c>
      <c r="F192" s="47" t="s">
        <v>1693</v>
      </c>
      <c r="G192" s="47" t="str">
        <f>CONCATENATE(TRIM(الجدول2[[#This Row],[الاسم الأول]])," ",TRIM(الجدول2[[#This Row],[اسم الأب]])," ",TRIM(الجدول2[[#This Row],[الكنية]]))</f>
        <v>محمود محمد الخمير</v>
      </c>
      <c r="H192" s="47" t="s">
        <v>1694</v>
      </c>
      <c r="I192" s="48" t="s">
        <v>1695</v>
      </c>
      <c r="J192" s="47" t="s">
        <v>58</v>
      </c>
      <c r="K192" s="47" t="s">
        <v>59</v>
      </c>
      <c r="L192" s="47" t="s">
        <v>59</v>
      </c>
      <c r="M192" s="47" t="s">
        <v>406</v>
      </c>
      <c r="N192" s="47" t="s">
        <v>1696</v>
      </c>
      <c r="O192" s="49">
        <v>24959</v>
      </c>
      <c r="P192" s="47" t="s">
        <v>1697</v>
      </c>
      <c r="Q192" s="47" t="s">
        <v>63</v>
      </c>
      <c r="R192" s="48" t="s">
        <v>1698</v>
      </c>
      <c r="S192" s="47" t="s">
        <v>109</v>
      </c>
      <c r="T192" s="47">
        <v>1</v>
      </c>
      <c r="U192" s="47">
        <v>3</v>
      </c>
      <c r="V192" s="47" t="s">
        <v>66</v>
      </c>
      <c r="W192" s="47" t="s">
        <v>67</v>
      </c>
      <c r="X192" s="47" t="s">
        <v>68</v>
      </c>
      <c r="Y192" s="47" t="s">
        <v>246</v>
      </c>
      <c r="Z192" s="47" t="s">
        <v>247</v>
      </c>
      <c r="AA192" s="47" t="s">
        <v>248</v>
      </c>
      <c r="AB192" s="47" t="s">
        <v>249</v>
      </c>
      <c r="AC192" s="47" t="s">
        <v>155</v>
      </c>
      <c r="AD192" s="47" t="s">
        <v>74</v>
      </c>
      <c r="AE192" s="49">
        <v>40887</v>
      </c>
      <c r="AF192" s="47" t="s">
        <v>123</v>
      </c>
      <c r="AG192" s="47"/>
      <c r="AH192" s="47" t="s">
        <v>157</v>
      </c>
      <c r="AI192" s="47" t="s">
        <v>250</v>
      </c>
      <c r="AJ192" s="47"/>
      <c r="AK192" s="47" t="s">
        <v>59</v>
      </c>
      <c r="AL192" s="47" t="s">
        <v>59</v>
      </c>
      <c r="AM192" s="47" t="s">
        <v>99</v>
      </c>
      <c r="AN192" s="47" t="s">
        <v>80</v>
      </c>
      <c r="AO192" s="47"/>
      <c r="AP192" s="47"/>
      <c r="AQ192" s="47" t="s">
        <v>81</v>
      </c>
      <c r="AR192" s="47"/>
      <c r="AS192" s="47" t="s">
        <v>82</v>
      </c>
      <c r="AT192" s="47" t="s">
        <v>250</v>
      </c>
      <c r="AU192" s="47"/>
      <c r="AV192" s="47"/>
      <c r="AW192" s="47"/>
      <c r="AX192" s="47"/>
      <c r="AY192" s="49"/>
      <c r="AZ192" s="47" t="s">
        <v>80</v>
      </c>
      <c r="BA192" s="47"/>
      <c r="BB192" s="47" t="s">
        <v>2359</v>
      </c>
      <c r="BC192" s="47" t="s">
        <v>2542</v>
      </c>
      <c r="BD192" s="47">
        <v>526462995</v>
      </c>
      <c r="BE192" s="50">
        <v>12284</v>
      </c>
      <c r="BF192" s="53">
        <v>1136805</v>
      </c>
    </row>
    <row r="193" spans="1:58" s="51" customFormat="1" ht="23.4" hidden="1" x14ac:dyDescent="0.25">
      <c r="A193" s="46">
        <v>192</v>
      </c>
      <c r="B193" s="47">
        <v>8797</v>
      </c>
      <c r="C193" s="47"/>
      <c r="D193" s="47" t="s">
        <v>1699</v>
      </c>
      <c r="E193" s="47" t="s">
        <v>86</v>
      </c>
      <c r="F193" s="47" t="s">
        <v>1700</v>
      </c>
      <c r="G193" s="47" t="str">
        <f>CONCATENATE(TRIM(الجدول2[[#This Row],[الاسم الأول]])," ",TRIM(الجدول2[[#This Row],[اسم الأب]])," ",TRIM(الجدول2[[#This Row],[الكنية]]))</f>
        <v>مرح احمد ثابت</v>
      </c>
      <c r="H193" s="47" t="s">
        <v>1701</v>
      </c>
      <c r="I193" s="48" t="s">
        <v>1702</v>
      </c>
      <c r="J193" s="47" t="s">
        <v>58</v>
      </c>
      <c r="K193" s="47" t="s">
        <v>59</v>
      </c>
      <c r="L193" s="47" t="s">
        <v>59</v>
      </c>
      <c r="M193" s="47" t="s">
        <v>60</v>
      </c>
      <c r="N193" s="47" t="s">
        <v>59</v>
      </c>
      <c r="O193" s="49">
        <v>29788</v>
      </c>
      <c r="P193" s="47" t="s">
        <v>1703</v>
      </c>
      <c r="Q193" s="47" t="s">
        <v>179</v>
      </c>
      <c r="R193" s="48" t="s">
        <v>1704</v>
      </c>
      <c r="S193" s="47" t="s">
        <v>65</v>
      </c>
      <c r="T193" s="47"/>
      <c r="U193" s="47"/>
      <c r="V193" s="47" t="s">
        <v>66</v>
      </c>
      <c r="W193" s="47" t="s">
        <v>67</v>
      </c>
      <c r="X193" s="47" t="s">
        <v>68</v>
      </c>
      <c r="Y193" s="47" t="s">
        <v>69</v>
      </c>
      <c r="Z193" s="47" t="s">
        <v>70</v>
      </c>
      <c r="AA193" s="47" t="s">
        <v>1705</v>
      </c>
      <c r="AB193" s="47" t="s">
        <v>72</v>
      </c>
      <c r="AC193" s="47" t="s">
        <v>73</v>
      </c>
      <c r="AD193" s="47" t="s">
        <v>74</v>
      </c>
      <c r="AE193" s="49">
        <v>43803</v>
      </c>
      <c r="AF193" s="47" t="s">
        <v>75</v>
      </c>
      <c r="AG193" s="47"/>
      <c r="AH193" s="47" t="s">
        <v>2277</v>
      </c>
      <c r="AI193" s="47" t="s">
        <v>76</v>
      </c>
      <c r="AJ193" s="47" t="s">
        <v>1279</v>
      </c>
      <c r="AK193" s="47" t="s">
        <v>59</v>
      </c>
      <c r="AL193" s="47" t="s">
        <v>59</v>
      </c>
      <c r="AM193" s="47" t="s">
        <v>99</v>
      </c>
      <c r="AN193" s="47" t="s">
        <v>80</v>
      </c>
      <c r="AO193" s="47"/>
      <c r="AP193" s="47"/>
      <c r="AQ193" s="47" t="s">
        <v>81</v>
      </c>
      <c r="AR193" s="47"/>
      <c r="AS193" s="47" t="s">
        <v>173</v>
      </c>
      <c r="AT193" s="47" t="s">
        <v>76</v>
      </c>
      <c r="AU193" s="47" t="s">
        <v>83</v>
      </c>
      <c r="AV193" s="47" t="s">
        <v>184</v>
      </c>
      <c r="AW193" s="47" t="s">
        <v>77</v>
      </c>
      <c r="AX193" s="47" t="s">
        <v>1706</v>
      </c>
      <c r="AY193" s="49">
        <v>43305</v>
      </c>
      <c r="AZ193" s="47" t="s">
        <v>80</v>
      </c>
      <c r="BA193" s="47"/>
      <c r="BB193" s="47" t="s">
        <v>2359</v>
      </c>
      <c r="BC193" s="47" t="s">
        <v>2542</v>
      </c>
      <c r="BD193" s="47">
        <v>524150312</v>
      </c>
      <c r="BE193" s="50">
        <v>6448</v>
      </c>
      <c r="BF193" s="53">
        <v>1124100</v>
      </c>
    </row>
    <row r="194" spans="1:58" s="51" customFormat="1" ht="23.4" hidden="1" x14ac:dyDescent="0.25">
      <c r="A194" s="46">
        <v>193</v>
      </c>
      <c r="B194" s="47">
        <v>45524</v>
      </c>
      <c r="C194" s="47"/>
      <c r="D194" s="47" t="s">
        <v>1707</v>
      </c>
      <c r="E194" s="47" t="s">
        <v>131</v>
      </c>
      <c r="F194" s="47" t="s">
        <v>1665</v>
      </c>
      <c r="G194" s="47" t="str">
        <f>CONCATENATE(TRIM(الجدول2[[#This Row],[الاسم الأول]])," ",TRIM(الجدول2[[#This Row],[اسم الأب]])," ",TRIM(الجدول2[[#This Row],[الكنية]]))</f>
        <v>مرفت علي معلا</v>
      </c>
      <c r="H194" s="47" t="s">
        <v>1708</v>
      </c>
      <c r="I194" s="48">
        <v>10040016793</v>
      </c>
      <c r="J194" s="47" t="s">
        <v>58</v>
      </c>
      <c r="K194" s="47" t="s">
        <v>59</v>
      </c>
      <c r="L194" s="47" t="s">
        <v>59</v>
      </c>
      <c r="M194" s="47" t="s">
        <v>406</v>
      </c>
      <c r="N194" s="47" t="s">
        <v>1709</v>
      </c>
      <c r="O194" s="49">
        <v>29222</v>
      </c>
      <c r="P194" s="47" t="s">
        <v>1710</v>
      </c>
      <c r="Q194" s="47" t="s">
        <v>179</v>
      </c>
      <c r="R194" s="48" t="s">
        <v>1711</v>
      </c>
      <c r="S194" s="47" t="s">
        <v>65</v>
      </c>
      <c r="T194" s="47"/>
      <c r="U194" s="47"/>
      <c r="V194" s="47" t="s">
        <v>66</v>
      </c>
      <c r="W194" s="47" t="s">
        <v>67</v>
      </c>
      <c r="X194" s="47" t="s">
        <v>68</v>
      </c>
      <c r="Y194" s="47" t="s">
        <v>94</v>
      </c>
      <c r="Z194" s="47" t="s">
        <v>221</v>
      </c>
      <c r="AA194" s="47" t="s">
        <v>1135</v>
      </c>
      <c r="AB194" s="47" t="s">
        <v>642</v>
      </c>
      <c r="AC194" s="47" t="s">
        <v>155</v>
      </c>
      <c r="AD194" s="47" t="s">
        <v>74</v>
      </c>
      <c r="AE194" s="49">
        <v>43905</v>
      </c>
      <c r="AF194" s="47" t="s">
        <v>123</v>
      </c>
      <c r="AG194" s="47"/>
      <c r="AH194" s="47" t="s">
        <v>140</v>
      </c>
      <c r="AI194" s="47" t="s">
        <v>143</v>
      </c>
      <c r="AJ194" s="47"/>
      <c r="AK194" s="47" t="s">
        <v>59</v>
      </c>
      <c r="AL194" s="47" t="s">
        <v>59</v>
      </c>
      <c r="AM194" s="47" t="s">
        <v>99</v>
      </c>
      <c r="AN194" s="47" t="s">
        <v>80</v>
      </c>
      <c r="AO194" s="47"/>
      <c r="AP194" s="47"/>
      <c r="AQ194" s="47" t="s">
        <v>81</v>
      </c>
      <c r="AR194" s="47"/>
      <c r="AS194" s="47" t="s">
        <v>82</v>
      </c>
      <c r="AT194" s="47" t="s">
        <v>143</v>
      </c>
      <c r="AU194" s="47" t="s">
        <v>80</v>
      </c>
      <c r="AV194" s="47"/>
      <c r="AW194" s="47"/>
      <c r="AX194" s="47"/>
      <c r="AY194" s="49">
        <v>34539</v>
      </c>
      <c r="AZ194" s="47" t="s">
        <v>80</v>
      </c>
      <c r="BA194" s="47"/>
      <c r="BB194" s="47" t="s">
        <v>2359</v>
      </c>
      <c r="BC194" s="47" t="s">
        <v>2542</v>
      </c>
      <c r="BD194" s="47">
        <v>524075173</v>
      </c>
      <c r="BE194" s="50">
        <v>5883</v>
      </c>
      <c r="BF194" s="53">
        <v>994128</v>
      </c>
    </row>
    <row r="195" spans="1:58" s="51" customFormat="1" ht="23.4" hidden="1" x14ac:dyDescent="0.25">
      <c r="A195" s="46">
        <v>194</v>
      </c>
      <c r="B195" s="47">
        <v>8859</v>
      </c>
      <c r="C195" s="47"/>
      <c r="D195" s="47" t="s">
        <v>1712</v>
      </c>
      <c r="E195" s="47" t="s">
        <v>1713</v>
      </c>
      <c r="F195" s="47" t="s">
        <v>131</v>
      </c>
      <c r="G195" s="47" t="str">
        <f>CONCATENATE(TRIM(الجدول2[[#This Row],[الاسم الأول]])," ",TRIM(الجدول2[[#This Row],[اسم الأب]])," ",TRIM(الجدول2[[#This Row],[الكنية]]))</f>
        <v>مروى دياب علي</v>
      </c>
      <c r="H195" s="47" t="s">
        <v>1714</v>
      </c>
      <c r="I195" s="48" t="s">
        <v>1715</v>
      </c>
      <c r="J195" s="47" t="s">
        <v>58</v>
      </c>
      <c r="K195" s="47" t="s">
        <v>59</v>
      </c>
      <c r="L195" s="47" t="s">
        <v>59</v>
      </c>
      <c r="M195" s="47" t="s">
        <v>60</v>
      </c>
      <c r="N195" s="47" t="s">
        <v>59</v>
      </c>
      <c r="O195" s="49">
        <v>32509</v>
      </c>
      <c r="P195" s="47" t="s">
        <v>1716</v>
      </c>
      <c r="Q195" s="47" t="s">
        <v>179</v>
      </c>
      <c r="R195" s="48" t="s">
        <v>1717</v>
      </c>
      <c r="S195" s="47" t="s">
        <v>109</v>
      </c>
      <c r="T195" s="47"/>
      <c r="U195" s="47">
        <v>1</v>
      </c>
      <c r="V195" s="47" t="s">
        <v>66</v>
      </c>
      <c r="W195" s="47" t="s">
        <v>67</v>
      </c>
      <c r="X195" s="47" t="s">
        <v>68</v>
      </c>
      <c r="Y195" s="47" t="s">
        <v>121</v>
      </c>
      <c r="Z195" s="47"/>
      <c r="AA195" s="47"/>
      <c r="AB195" s="47" t="s">
        <v>1718</v>
      </c>
      <c r="AC195" s="47" t="s">
        <v>73</v>
      </c>
      <c r="AD195" s="47" t="s">
        <v>74</v>
      </c>
      <c r="AE195" s="49">
        <v>41240</v>
      </c>
      <c r="AF195" s="47" t="s">
        <v>290</v>
      </c>
      <c r="AG195" s="47"/>
      <c r="AH195" s="47" t="s">
        <v>2277</v>
      </c>
      <c r="AI195" s="47" t="s">
        <v>76</v>
      </c>
      <c r="AJ195" s="47" t="s">
        <v>277</v>
      </c>
      <c r="AK195" s="47" t="s">
        <v>59</v>
      </c>
      <c r="AL195" s="47" t="s">
        <v>59</v>
      </c>
      <c r="AM195" s="47" t="s">
        <v>99</v>
      </c>
      <c r="AN195" s="47" t="s">
        <v>80</v>
      </c>
      <c r="AO195" s="47"/>
      <c r="AP195" s="47"/>
      <c r="AQ195" s="47" t="s">
        <v>81</v>
      </c>
      <c r="AR195" s="47"/>
      <c r="AS195" s="47" t="s">
        <v>173</v>
      </c>
      <c r="AT195" s="47" t="s">
        <v>76</v>
      </c>
      <c r="AU195" s="47" t="s">
        <v>83</v>
      </c>
      <c r="AV195" s="47" t="s">
        <v>61</v>
      </c>
      <c r="AW195" s="47" t="s">
        <v>1719</v>
      </c>
      <c r="AX195" s="47" t="s">
        <v>1367</v>
      </c>
      <c r="AY195" s="49">
        <v>43845</v>
      </c>
      <c r="AZ195" s="47" t="s">
        <v>83</v>
      </c>
      <c r="BA195" s="47"/>
      <c r="BB195" s="47" t="s">
        <v>2359</v>
      </c>
      <c r="BC195" s="47" t="s">
        <v>2542</v>
      </c>
      <c r="BD195" s="47">
        <v>526019712</v>
      </c>
      <c r="BE195" s="50">
        <v>9152</v>
      </c>
      <c r="BF195" s="53">
        <v>1409000</v>
      </c>
    </row>
    <row r="196" spans="1:58" s="51" customFormat="1" ht="23.4" hidden="1" x14ac:dyDescent="0.25">
      <c r="A196" s="46">
        <v>195</v>
      </c>
      <c r="B196" s="47">
        <v>8861</v>
      </c>
      <c r="C196" s="47">
        <v>1358172</v>
      </c>
      <c r="D196" s="47" t="s">
        <v>1720</v>
      </c>
      <c r="E196" s="47" t="s">
        <v>1721</v>
      </c>
      <c r="F196" s="47" t="s">
        <v>55</v>
      </c>
      <c r="G196" s="47" t="str">
        <f>CONCATENATE(TRIM(الجدول2[[#This Row],[الاسم الأول]])," ",TRIM(الجدول2[[#This Row],[اسم الأب]])," ",TRIM(الجدول2[[#This Row],[الكنية]]))</f>
        <v>مريانا شعبان حسن</v>
      </c>
      <c r="H196" s="47" t="s">
        <v>1722</v>
      </c>
      <c r="I196" s="48" t="s">
        <v>1723</v>
      </c>
      <c r="J196" s="47" t="s">
        <v>58</v>
      </c>
      <c r="K196" s="47" t="s">
        <v>59</v>
      </c>
      <c r="L196" s="47" t="s">
        <v>59</v>
      </c>
      <c r="M196" s="47" t="s">
        <v>60</v>
      </c>
      <c r="N196" s="47" t="s">
        <v>59</v>
      </c>
      <c r="O196" s="49">
        <v>32143</v>
      </c>
      <c r="P196" s="47" t="s">
        <v>1724</v>
      </c>
      <c r="Q196" s="47" t="s">
        <v>179</v>
      </c>
      <c r="R196" s="48" t="s">
        <v>1725</v>
      </c>
      <c r="S196" s="47" t="s">
        <v>109</v>
      </c>
      <c r="T196" s="47"/>
      <c r="U196" s="47">
        <v>2</v>
      </c>
      <c r="V196" s="47" t="s">
        <v>66</v>
      </c>
      <c r="W196" s="47" t="s">
        <v>67</v>
      </c>
      <c r="X196" s="47" t="s">
        <v>68</v>
      </c>
      <c r="Y196" s="47" t="s">
        <v>137</v>
      </c>
      <c r="Z196" s="47"/>
      <c r="AA196" s="47"/>
      <c r="AB196" s="47" t="s">
        <v>72</v>
      </c>
      <c r="AC196" s="47" t="s">
        <v>73</v>
      </c>
      <c r="AD196" s="47" t="s">
        <v>74</v>
      </c>
      <c r="AE196" s="49">
        <v>41315</v>
      </c>
      <c r="AF196" s="47" t="s">
        <v>75</v>
      </c>
      <c r="AG196" s="47"/>
      <c r="AH196" s="47" t="s">
        <v>2277</v>
      </c>
      <c r="AI196" s="47" t="s">
        <v>76</v>
      </c>
      <c r="AJ196" s="47" t="s">
        <v>77</v>
      </c>
      <c r="AK196" s="47" t="s">
        <v>59</v>
      </c>
      <c r="AL196" s="47" t="s">
        <v>59</v>
      </c>
      <c r="AM196" s="47" t="s">
        <v>99</v>
      </c>
      <c r="AN196" s="47" t="s">
        <v>80</v>
      </c>
      <c r="AO196" s="47"/>
      <c r="AP196" s="47"/>
      <c r="AQ196" s="47" t="s">
        <v>81</v>
      </c>
      <c r="AR196" s="47"/>
      <c r="AS196" s="47" t="s">
        <v>82</v>
      </c>
      <c r="AT196" s="47" t="s">
        <v>76</v>
      </c>
      <c r="AU196" s="47" t="s">
        <v>83</v>
      </c>
      <c r="AV196" s="47" t="s">
        <v>425</v>
      </c>
      <c r="AW196" s="47" t="s">
        <v>1726</v>
      </c>
      <c r="AX196" s="47" t="s">
        <v>1181</v>
      </c>
      <c r="AY196" s="49">
        <v>41099</v>
      </c>
      <c r="AZ196" s="47" t="s">
        <v>80</v>
      </c>
      <c r="BA196" s="47" t="s">
        <v>1727</v>
      </c>
      <c r="BB196" s="47" t="s">
        <v>2358</v>
      </c>
      <c r="BC196" s="47" t="s">
        <v>2542</v>
      </c>
      <c r="BD196" s="47">
        <v>527227303</v>
      </c>
      <c r="BE196" s="50">
        <v>16679</v>
      </c>
      <c r="BF196" s="53">
        <v>1336842</v>
      </c>
    </row>
    <row r="197" spans="1:58" s="51" customFormat="1" ht="23.4" hidden="1" x14ac:dyDescent="0.25">
      <c r="A197" s="46">
        <v>196</v>
      </c>
      <c r="B197" s="47">
        <v>8898</v>
      </c>
      <c r="C197" s="47"/>
      <c r="D197" s="47" t="s">
        <v>1728</v>
      </c>
      <c r="E197" s="47" t="s">
        <v>116</v>
      </c>
      <c r="F197" s="47" t="s">
        <v>1200</v>
      </c>
      <c r="G197" s="47" t="str">
        <f>CONCATENATE(TRIM(الجدول2[[#This Row],[الاسم الأول]])," ",TRIM(الجدول2[[#This Row],[اسم الأب]])," ",TRIM(الجدول2[[#This Row],[الكنية]]))</f>
        <v>مريم يوسف حمزه</v>
      </c>
      <c r="H197" s="47" t="s">
        <v>1729</v>
      </c>
      <c r="I197" s="48" t="s">
        <v>1730</v>
      </c>
      <c r="J197" s="47" t="s">
        <v>58</v>
      </c>
      <c r="K197" s="47" t="s">
        <v>59</v>
      </c>
      <c r="L197" s="47" t="s">
        <v>105</v>
      </c>
      <c r="M197" s="47" t="s">
        <v>106</v>
      </c>
      <c r="N197" s="47" t="s">
        <v>59</v>
      </c>
      <c r="O197" s="49">
        <v>31427</v>
      </c>
      <c r="P197" s="47" t="s">
        <v>1731</v>
      </c>
      <c r="Q197" s="47" t="s">
        <v>179</v>
      </c>
      <c r="R197" s="48" t="s">
        <v>1732</v>
      </c>
      <c r="S197" s="47" t="s">
        <v>109</v>
      </c>
      <c r="T197" s="47"/>
      <c r="U197" s="47">
        <v>3</v>
      </c>
      <c r="V197" s="47" t="s">
        <v>66</v>
      </c>
      <c r="W197" s="47" t="s">
        <v>67</v>
      </c>
      <c r="X197" s="47" t="s">
        <v>68</v>
      </c>
      <c r="Y197" s="47" t="s">
        <v>233</v>
      </c>
      <c r="Z197" s="47"/>
      <c r="AA197" s="47"/>
      <c r="AB197" s="47" t="s">
        <v>1733</v>
      </c>
      <c r="AC197" s="47" t="s">
        <v>155</v>
      </c>
      <c r="AD197" s="47" t="s">
        <v>74</v>
      </c>
      <c r="AE197" s="49">
        <v>43905</v>
      </c>
      <c r="AF197" s="47" t="s">
        <v>156</v>
      </c>
      <c r="AG197" s="47"/>
      <c r="AH197" s="47" t="s">
        <v>140</v>
      </c>
      <c r="AI197" s="47" t="s">
        <v>143</v>
      </c>
      <c r="AJ197" s="47"/>
      <c r="AK197" s="47" t="s">
        <v>59</v>
      </c>
      <c r="AL197" s="47" t="s">
        <v>59</v>
      </c>
      <c r="AM197" s="47" t="s">
        <v>79</v>
      </c>
      <c r="AN197" s="47" t="s">
        <v>80</v>
      </c>
      <c r="AO197" s="47"/>
      <c r="AP197" s="47"/>
      <c r="AQ197" s="47" t="s">
        <v>81</v>
      </c>
      <c r="AR197" s="47"/>
      <c r="AS197" s="47" t="s">
        <v>82</v>
      </c>
      <c r="AT197" s="47" t="s">
        <v>128</v>
      </c>
      <c r="AU197" s="47" t="s">
        <v>83</v>
      </c>
      <c r="AV197" s="47"/>
      <c r="AW197" s="47"/>
      <c r="AX197" s="47" t="s">
        <v>1734</v>
      </c>
      <c r="AY197" s="49">
        <v>39246</v>
      </c>
      <c r="AZ197" s="47" t="s">
        <v>80</v>
      </c>
      <c r="BA197" s="47"/>
      <c r="BB197" s="47" t="s">
        <v>2359</v>
      </c>
      <c r="BC197" s="47" t="s">
        <v>2542</v>
      </c>
      <c r="BD197" s="47">
        <v>524027802</v>
      </c>
      <c r="BE197" s="50">
        <v>5478</v>
      </c>
      <c r="BF197" s="53">
        <v>994128</v>
      </c>
    </row>
    <row r="198" spans="1:58" s="51" customFormat="1" ht="23.4" hidden="1" x14ac:dyDescent="0.25">
      <c r="A198" s="46">
        <v>197</v>
      </c>
      <c r="B198" s="47">
        <v>8993</v>
      </c>
      <c r="C198" s="47">
        <v>1639578</v>
      </c>
      <c r="D198" s="47" t="s">
        <v>1735</v>
      </c>
      <c r="E198" s="47" t="s">
        <v>1665</v>
      </c>
      <c r="F198" s="47" t="s">
        <v>145</v>
      </c>
      <c r="G198" s="47" t="str">
        <f>CONCATENATE(TRIM(الجدول2[[#This Row],[الاسم الأول]])," ",TRIM(الجدول2[[#This Row],[اسم الأب]])," ",TRIM(الجدول2[[#This Row],[الكنية]]))</f>
        <v>مضر معلا يونس</v>
      </c>
      <c r="H198" s="47" t="s">
        <v>1736</v>
      </c>
      <c r="I198" s="48" t="s">
        <v>1737</v>
      </c>
      <c r="J198" s="47" t="s">
        <v>58</v>
      </c>
      <c r="K198" s="47" t="s">
        <v>59</v>
      </c>
      <c r="L198" s="47" t="s">
        <v>59</v>
      </c>
      <c r="M198" s="47" t="s">
        <v>60</v>
      </c>
      <c r="N198" s="47" t="s">
        <v>59</v>
      </c>
      <c r="O198" s="49">
        <v>31907</v>
      </c>
      <c r="P198" s="47" t="s">
        <v>1738</v>
      </c>
      <c r="Q198" s="47" t="s">
        <v>63</v>
      </c>
      <c r="R198" s="48" t="s">
        <v>1739</v>
      </c>
      <c r="S198" s="47" t="s">
        <v>109</v>
      </c>
      <c r="T198" s="47">
        <v>1</v>
      </c>
      <c r="U198" s="47">
        <v>0</v>
      </c>
      <c r="V198" s="47" t="s">
        <v>66</v>
      </c>
      <c r="W198" s="47" t="s">
        <v>67</v>
      </c>
      <c r="X198" s="47" t="s">
        <v>68</v>
      </c>
      <c r="Y198" s="47" t="s">
        <v>210</v>
      </c>
      <c r="Z198" s="47"/>
      <c r="AA198" s="47"/>
      <c r="AB198" s="47" t="s">
        <v>1740</v>
      </c>
      <c r="AC198" s="47" t="s">
        <v>155</v>
      </c>
      <c r="AD198" s="47" t="s">
        <v>74</v>
      </c>
      <c r="AE198" s="49">
        <v>44391</v>
      </c>
      <c r="AF198" s="47" t="s">
        <v>1437</v>
      </c>
      <c r="AG198" s="47"/>
      <c r="AH198" s="47" t="s">
        <v>124</v>
      </c>
      <c r="AI198" s="47" t="s">
        <v>125</v>
      </c>
      <c r="AJ198" s="47"/>
      <c r="AK198" s="47" t="s">
        <v>59</v>
      </c>
      <c r="AL198" s="47" t="s">
        <v>59</v>
      </c>
      <c r="AM198" s="47" t="s">
        <v>99</v>
      </c>
      <c r="AN198" s="47" t="s">
        <v>83</v>
      </c>
      <c r="AO198" s="47" t="s">
        <v>1741</v>
      </c>
      <c r="AP198" s="47" t="s">
        <v>593</v>
      </c>
      <c r="AQ198" s="47" t="s">
        <v>81</v>
      </c>
      <c r="AR198" s="47"/>
      <c r="AS198" s="47" t="s">
        <v>236</v>
      </c>
      <c r="AT198" s="47" t="s">
        <v>128</v>
      </c>
      <c r="AU198" s="47" t="s">
        <v>83</v>
      </c>
      <c r="AV198" s="47"/>
      <c r="AW198" s="47"/>
      <c r="AX198" s="47" t="s">
        <v>355</v>
      </c>
      <c r="AY198" s="49">
        <v>38939</v>
      </c>
      <c r="AZ198" s="47" t="s">
        <v>80</v>
      </c>
      <c r="BA198" s="47"/>
      <c r="BB198" s="47" t="s">
        <v>2359</v>
      </c>
      <c r="BC198" s="47" t="s">
        <v>2542</v>
      </c>
      <c r="BD198" s="47">
        <v>536050092</v>
      </c>
      <c r="BE198" s="50">
        <v>32137</v>
      </c>
      <c r="BF198" s="53">
        <v>964719</v>
      </c>
    </row>
    <row r="199" spans="1:58" s="51" customFormat="1" ht="23.4" hidden="1" x14ac:dyDescent="0.25">
      <c r="A199" s="46">
        <v>198</v>
      </c>
      <c r="B199" s="47">
        <v>9038</v>
      </c>
      <c r="C199" s="47"/>
      <c r="D199" s="47" t="s">
        <v>1742</v>
      </c>
      <c r="E199" s="47" t="s">
        <v>131</v>
      </c>
      <c r="F199" s="47" t="s">
        <v>1743</v>
      </c>
      <c r="G199" s="47" t="str">
        <f>CONCATENATE(TRIM(الجدول2[[#This Row],[الاسم الأول]])," ",TRIM(الجدول2[[#This Row],[اسم الأب]])," ",TRIM(الجدول2[[#This Row],[الكنية]]))</f>
        <v>معن علي حجل</v>
      </c>
      <c r="H199" s="47" t="s">
        <v>1744</v>
      </c>
      <c r="I199" s="48" t="s">
        <v>1745</v>
      </c>
      <c r="J199" s="47" t="s">
        <v>58</v>
      </c>
      <c r="K199" s="47" t="s">
        <v>59</v>
      </c>
      <c r="L199" s="47" t="s">
        <v>164</v>
      </c>
      <c r="M199" s="47" t="s">
        <v>165</v>
      </c>
      <c r="N199" s="47" t="s">
        <v>164</v>
      </c>
      <c r="O199" s="49">
        <v>31140</v>
      </c>
      <c r="P199" s="47" t="s">
        <v>1746</v>
      </c>
      <c r="Q199" s="47" t="s">
        <v>63</v>
      </c>
      <c r="R199" s="48" t="s">
        <v>1747</v>
      </c>
      <c r="S199" s="47" t="s">
        <v>109</v>
      </c>
      <c r="T199" s="47">
        <v>1</v>
      </c>
      <c r="U199" s="47">
        <v>1</v>
      </c>
      <c r="V199" s="47" t="s">
        <v>66</v>
      </c>
      <c r="W199" s="47" t="s">
        <v>67</v>
      </c>
      <c r="X199" s="47" t="s">
        <v>68</v>
      </c>
      <c r="Y199" s="47" t="s">
        <v>137</v>
      </c>
      <c r="Z199" s="47"/>
      <c r="AA199" s="47"/>
      <c r="AB199" s="47" t="s">
        <v>1748</v>
      </c>
      <c r="AC199" s="47" t="s">
        <v>73</v>
      </c>
      <c r="AD199" s="47" t="s">
        <v>74</v>
      </c>
      <c r="AE199" s="49">
        <v>40862</v>
      </c>
      <c r="AF199" s="47" t="s">
        <v>123</v>
      </c>
      <c r="AG199" s="47"/>
      <c r="AH199" s="47" t="s">
        <v>124</v>
      </c>
      <c r="AI199" s="47" t="s">
        <v>182</v>
      </c>
      <c r="AJ199" s="47" t="s">
        <v>186</v>
      </c>
      <c r="AK199" s="47" t="s">
        <v>59</v>
      </c>
      <c r="AL199" s="47" t="s">
        <v>164</v>
      </c>
      <c r="AM199" s="47" t="s">
        <v>99</v>
      </c>
      <c r="AN199" s="47" t="s">
        <v>80</v>
      </c>
      <c r="AO199" s="47"/>
      <c r="AP199" s="47"/>
      <c r="AQ199" s="47" t="s">
        <v>81</v>
      </c>
      <c r="AR199" s="47"/>
      <c r="AS199" s="47" t="s">
        <v>173</v>
      </c>
      <c r="AT199" s="47" t="s">
        <v>182</v>
      </c>
      <c r="AU199" s="47" t="s">
        <v>83</v>
      </c>
      <c r="AV199" s="47" t="s">
        <v>184</v>
      </c>
      <c r="AW199" s="47" t="s">
        <v>1161</v>
      </c>
      <c r="AX199" s="47" t="s">
        <v>186</v>
      </c>
      <c r="AY199" s="49">
        <v>39287</v>
      </c>
      <c r="AZ199" s="47" t="s">
        <v>80</v>
      </c>
      <c r="BA199" s="47" t="s">
        <v>1164</v>
      </c>
      <c r="BB199" s="47" t="s">
        <v>2358</v>
      </c>
      <c r="BC199" s="47" t="s">
        <v>2542</v>
      </c>
      <c r="BD199" s="47">
        <v>523925668</v>
      </c>
      <c r="BE199" s="50">
        <v>4593</v>
      </c>
      <c r="BF199" s="53">
        <v>1243000</v>
      </c>
    </row>
    <row r="200" spans="1:58" s="51" customFormat="1" ht="23.4" hidden="1" x14ac:dyDescent="0.25">
      <c r="A200" s="46">
        <v>199</v>
      </c>
      <c r="B200" s="47">
        <v>9093</v>
      </c>
      <c r="C200" s="47"/>
      <c r="D200" s="47" t="s">
        <v>1749</v>
      </c>
      <c r="E200" s="47" t="s">
        <v>131</v>
      </c>
      <c r="F200" s="47" t="s">
        <v>53</v>
      </c>
      <c r="G200" s="47" t="str">
        <f>CONCATENATE(TRIM(الجدول2[[#This Row],[الاسم الأول]])," ",TRIM(الجدول2[[#This Row],[اسم الأب]])," ",TRIM(الجدول2[[#This Row],[الكنية]]))</f>
        <v>منار علي ابراهيم</v>
      </c>
      <c r="H200" s="47" t="s">
        <v>1750</v>
      </c>
      <c r="I200" s="48" t="s">
        <v>1751</v>
      </c>
      <c r="J200" s="47" t="s">
        <v>58</v>
      </c>
      <c r="K200" s="47" t="s">
        <v>59</v>
      </c>
      <c r="L200" s="47" t="s">
        <v>90</v>
      </c>
      <c r="M200" s="47" t="s">
        <v>298</v>
      </c>
      <c r="N200" s="47" t="s">
        <v>395</v>
      </c>
      <c r="O200" s="49">
        <v>31206</v>
      </c>
      <c r="P200" s="47" t="s">
        <v>1752</v>
      </c>
      <c r="Q200" s="47" t="s">
        <v>179</v>
      </c>
      <c r="R200" s="48" t="s">
        <v>1753</v>
      </c>
      <c r="S200" s="47" t="s">
        <v>109</v>
      </c>
      <c r="T200" s="47"/>
      <c r="U200" s="47">
        <v>3</v>
      </c>
      <c r="V200" s="47" t="s">
        <v>66</v>
      </c>
      <c r="W200" s="47" t="s">
        <v>67</v>
      </c>
      <c r="X200" s="47" t="s">
        <v>68</v>
      </c>
      <c r="Y200" s="47" t="s">
        <v>137</v>
      </c>
      <c r="Z200" s="47"/>
      <c r="AA200" s="47"/>
      <c r="AB200" s="47" t="s">
        <v>212</v>
      </c>
      <c r="AC200" s="47" t="s">
        <v>155</v>
      </c>
      <c r="AD200" s="47" t="s">
        <v>74</v>
      </c>
      <c r="AE200" s="49">
        <v>43902</v>
      </c>
      <c r="AF200" s="47" t="s">
        <v>123</v>
      </c>
      <c r="AG200" s="47"/>
      <c r="AH200" s="47" t="s">
        <v>140</v>
      </c>
      <c r="AI200" s="47" t="s">
        <v>143</v>
      </c>
      <c r="AJ200" s="47"/>
      <c r="AK200" s="47" t="s">
        <v>59</v>
      </c>
      <c r="AL200" s="47" t="s">
        <v>90</v>
      </c>
      <c r="AM200" s="47" t="s">
        <v>158</v>
      </c>
      <c r="AN200" s="47" t="s">
        <v>83</v>
      </c>
      <c r="AO200" s="47" t="s">
        <v>1754</v>
      </c>
      <c r="AP200" s="47" t="s">
        <v>1755</v>
      </c>
      <c r="AQ200" s="47" t="s">
        <v>81</v>
      </c>
      <c r="AR200" s="47"/>
      <c r="AS200" s="47" t="s">
        <v>82</v>
      </c>
      <c r="AT200" s="47" t="s">
        <v>143</v>
      </c>
      <c r="AU200" s="47" t="s">
        <v>83</v>
      </c>
      <c r="AV200" s="47"/>
      <c r="AW200" s="47"/>
      <c r="AX200" s="47"/>
      <c r="AY200" s="49">
        <v>37086</v>
      </c>
      <c r="AZ200" s="47" t="s">
        <v>80</v>
      </c>
      <c r="BA200" s="47" t="s">
        <v>1756</v>
      </c>
      <c r="BB200" s="47" t="s">
        <v>2358</v>
      </c>
      <c r="BC200" s="47" t="s">
        <v>2542</v>
      </c>
      <c r="BD200" s="47">
        <v>523198231</v>
      </c>
      <c r="BE200" s="50">
        <v>3091</v>
      </c>
      <c r="BF200" s="53">
        <v>994128</v>
      </c>
    </row>
    <row r="201" spans="1:58" s="51" customFormat="1" ht="23.4" hidden="1" x14ac:dyDescent="0.25">
      <c r="A201" s="46">
        <v>200</v>
      </c>
      <c r="B201" s="47">
        <v>9100</v>
      </c>
      <c r="C201" s="47"/>
      <c r="D201" s="47" t="s">
        <v>1749</v>
      </c>
      <c r="E201" s="47" t="s">
        <v>115</v>
      </c>
      <c r="F201" s="47" t="s">
        <v>1757</v>
      </c>
      <c r="G201" s="47" t="str">
        <f>CONCATENATE(TRIM(الجدول2[[#This Row],[الاسم الأول]])," ",TRIM(الجدول2[[#This Row],[اسم الأب]])," ",TRIM(الجدول2[[#This Row],[الكنية]]))</f>
        <v>منار محمد دلا</v>
      </c>
      <c r="H201" s="47" t="s">
        <v>1758</v>
      </c>
      <c r="I201" s="48" t="s">
        <v>1759</v>
      </c>
      <c r="J201" s="47" t="s">
        <v>58</v>
      </c>
      <c r="K201" s="47" t="s">
        <v>59</v>
      </c>
      <c r="L201" s="47" t="s">
        <v>59</v>
      </c>
      <c r="M201" s="47" t="s">
        <v>544</v>
      </c>
      <c r="N201" s="47" t="s">
        <v>61</v>
      </c>
      <c r="O201" s="49">
        <v>24765</v>
      </c>
      <c r="P201" s="47" t="s">
        <v>1760</v>
      </c>
      <c r="Q201" s="47" t="s">
        <v>179</v>
      </c>
      <c r="R201" s="48" t="s">
        <v>1761</v>
      </c>
      <c r="S201" s="47" t="s">
        <v>109</v>
      </c>
      <c r="T201" s="47"/>
      <c r="U201" s="47">
        <v>3</v>
      </c>
      <c r="V201" s="47" t="s">
        <v>66</v>
      </c>
      <c r="W201" s="47" t="s">
        <v>67</v>
      </c>
      <c r="X201" s="47" t="s">
        <v>68</v>
      </c>
      <c r="Y201" s="47" t="s">
        <v>94</v>
      </c>
      <c r="Z201" s="47" t="s">
        <v>221</v>
      </c>
      <c r="AA201" s="47"/>
      <c r="AB201" s="47" t="s">
        <v>289</v>
      </c>
      <c r="AC201" s="47" t="s">
        <v>73</v>
      </c>
      <c r="AD201" s="47" t="s">
        <v>74</v>
      </c>
      <c r="AE201" s="49">
        <v>36678</v>
      </c>
      <c r="AF201" s="47" t="s">
        <v>139</v>
      </c>
      <c r="AG201" s="47"/>
      <c r="AH201" s="47" t="s">
        <v>124</v>
      </c>
      <c r="AI201" s="47" t="s">
        <v>125</v>
      </c>
      <c r="AJ201" s="47"/>
      <c r="AK201" s="47" t="s">
        <v>59</v>
      </c>
      <c r="AL201" s="47" t="s">
        <v>59</v>
      </c>
      <c r="AM201" s="47" t="s">
        <v>99</v>
      </c>
      <c r="AN201" s="47" t="s">
        <v>80</v>
      </c>
      <c r="AO201" s="47"/>
      <c r="AP201" s="47"/>
      <c r="AQ201" s="47" t="s">
        <v>81</v>
      </c>
      <c r="AR201" s="47"/>
      <c r="AS201" s="47" t="s">
        <v>82</v>
      </c>
      <c r="AT201" s="47" t="s">
        <v>128</v>
      </c>
      <c r="AU201" s="47" t="s">
        <v>83</v>
      </c>
      <c r="AV201" s="47"/>
      <c r="AW201" s="47"/>
      <c r="AX201" s="47" t="s">
        <v>355</v>
      </c>
      <c r="AY201" s="49">
        <v>31778</v>
      </c>
      <c r="AZ201" s="47" t="s">
        <v>80</v>
      </c>
      <c r="BA201" s="47"/>
      <c r="BB201" s="47" t="s">
        <v>2359</v>
      </c>
      <c r="BC201" s="47" t="s">
        <v>2542</v>
      </c>
      <c r="BD201" s="47">
        <v>526541374</v>
      </c>
      <c r="BE201" s="50">
        <v>13117</v>
      </c>
      <c r="BF201" s="53">
        <v>1243000</v>
      </c>
    </row>
    <row r="202" spans="1:58" s="51" customFormat="1" ht="23.4" hidden="1" x14ac:dyDescent="0.25">
      <c r="A202" s="46">
        <v>201</v>
      </c>
      <c r="B202" s="47">
        <v>9132</v>
      </c>
      <c r="C202" s="47">
        <v>801458</v>
      </c>
      <c r="D202" s="47" t="s">
        <v>1762</v>
      </c>
      <c r="E202" s="47" t="s">
        <v>1763</v>
      </c>
      <c r="F202" s="47" t="s">
        <v>1166</v>
      </c>
      <c r="G202" s="47" t="str">
        <f>CONCATENATE(TRIM(الجدول2[[#This Row],[الاسم الأول]])," ",TRIM(الجدول2[[#This Row],[اسم الأب]])," ",TRIM(الجدول2[[#This Row],[الكنية]]))</f>
        <v>منال ناصيف العلي</v>
      </c>
      <c r="H202" s="47" t="s">
        <v>1764</v>
      </c>
      <c r="I202" s="48" t="s">
        <v>1765</v>
      </c>
      <c r="J202" s="47" t="s">
        <v>58</v>
      </c>
      <c r="K202" s="47" t="s">
        <v>361</v>
      </c>
      <c r="L202" s="47" t="s">
        <v>361</v>
      </c>
      <c r="M202" s="47" t="s">
        <v>1766</v>
      </c>
      <c r="N202" s="47" t="s">
        <v>361</v>
      </c>
      <c r="O202" s="49">
        <v>26666</v>
      </c>
      <c r="P202" s="47" t="s">
        <v>1767</v>
      </c>
      <c r="Q202" s="47" t="s">
        <v>179</v>
      </c>
      <c r="R202" s="48" t="s">
        <v>1768</v>
      </c>
      <c r="S202" s="47" t="s">
        <v>109</v>
      </c>
      <c r="T202" s="47"/>
      <c r="U202" s="47">
        <v>2</v>
      </c>
      <c r="V202" s="47" t="s">
        <v>66</v>
      </c>
      <c r="W202" s="47" t="s">
        <v>67</v>
      </c>
      <c r="X202" s="47" t="s">
        <v>68</v>
      </c>
      <c r="Y202" s="47" t="s">
        <v>443</v>
      </c>
      <c r="Z202" s="47"/>
      <c r="AA202" s="47"/>
      <c r="AB202" s="47" t="s">
        <v>444</v>
      </c>
      <c r="AC202" s="47" t="s">
        <v>73</v>
      </c>
      <c r="AD202" s="47" t="s">
        <v>74</v>
      </c>
      <c r="AE202" s="49">
        <v>33867</v>
      </c>
      <c r="AF202" s="47" t="s">
        <v>123</v>
      </c>
      <c r="AG202" s="47"/>
      <c r="AH202" s="47" t="s">
        <v>124</v>
      </c>
      <c r="AI202" s="47" t="s">
        <v>125</v>
      </c>
      <c r="AJ202" s="47"/>
      <c r="AK202" s="47" t="s">
        <v>59</v>
      </c>
      <c r="AL202" s="47" t="s">
        <v>59</v>
      </c>
      <c r="AM202" s="47" t="s">
        <v>99</v>
      </c>
      <c r="AN202" s="47" t="s">
        <v>80</v>
      </c>
      <c r="AO202" s="47"/>
      <c r="AP202" s="47"/>
      <c r="AQ202" s="47" t="s">
        <v>81</v>
      </c>
      <c r="AR202" s="47"/>
      <c r="AS202" s="47" t="s">
        <v>142</v>
      </c>
      <c r="AT202" s="47" t="s">
        <v>128</v>
      </c>
      <c r="AU202" s="47" t="s">
        <v>83</v>
      </c>
      <c r="AV202" s="47"/>
      <c r="AW202" s="47"/>
      <c r="AX202" s="47" t="s">
        <v>355</v>
      </c>
      <c r="AY202" s="49">
        <v>33081</v>
      </c>
      <c r="AZ202" s="47" t="s">
        <v>80</v>
      </c>
      <c r="BA202" s="47"/>
      <c r="BB202" s="47" t="s">
        <v>2359</v>
      </c>
      <c r="BC202" s="47" t="s">
        <v>2542</v>
      </c>
      <c r="BD202" s="47">
        <v>526064376</v>
      </c>
      <c r="BE202" s="50">
        <v>10370</v>
      </c>
      <c r="BF202" s="53">
        <v>1185000</v>
      </c>
    </row>
    <row r="203" spans="1:58" s="51" customFormat="1" ht="23.4" hidden="1" x14ac:dyDescent="0.25">
      <c r="A203" s="46">
        <v>202</v>
      </c>
      <c r="B203" s="47">
        <v>9134</v>
      </c>
      <c r="C203" s="47"/>
      <c r="D203" s="47" t="s">
        <v>1762</v>
      </c>
      <c r="E203" s="47" t="s">
        <v>1769</v>
      </c>
      <c r="F203" s="47" t="s">
        <v>810</v>
      </c>
      <c r="G203" s="47" t="str">
        <f>CONCATENATE(TRIM(الجدول2[[#This Row],[الاسم الأول]])," ",TRIM(الجدول2[[#This Row],[اسم الأب]])," ",TRIM(الجدول2[[#This Row],[الكنية]]))</f>
        <v>منال وهيب ديب</v>
      </c>
      <c r="H203" s="47" t="s">
        <v>1770</v>
      </c>
      <c r="I203" s="48" t="s">
        <v>1771</v>
      </c>
      <c r="J203" s="47" t="s">
        <v>58</v>
      </c>
      <c r="K203" s="47" t="s">
        <v>59</v>
      </c>
      <c r="L203" s="47" t="s">
        <v>59</v>
      </c>
      <c r="M203" s="47" t="s">
        <v>60</v>
      </c>
      <c r="N203" s="47" t="s">
        <v>59</v>
      </c>
      <c r="O203" s="49">
        <v>27249</v>
      </c>
      <c r="P203" s="47" t="s">
        <v>1772</v>
      </c>
      <c r="Q203" s="47" t="s">
        <v>179</v>
      </c>
      <c r="R203" s="48" t="s">
        <v>1773</v>
      </c>
      <c r="S203" s="47" t="s">
        <v>109</v>
      </c>
      <c r="T203" s="47"/>
      <c r="U203" s="47">
        <v>3</v>
      </c>
      <c r="V203" s="47" t="s">
        <v>66</v>
      </c>
      <c r="W203" s="47" t="s">
        <v>67</v>
      </c>
      <c r="X203" s="47" t="s">
        <v>68</v>
      </c>
      <c r="Y203" s="47" t="s">
        <v>210</v>
      </c>
      <c r="Z203" s="47"/>
      <c r="AA203" s="47"/>
      <c r="AB203" s="47" t="s">
        <v>642</v>
      </c>
      <c r="AC203" s="47" t="s">
        <v>155</v>
      </c>
      <c r="AD203" s="47" t="s">
        <v>74</v>
      </c>
      <c r="AE203" s="49">
        <v>44059</v>
      </c>
      <c r="AF203" s="47" t="s">
        <v>123</v>
      </c>
      <c r="AG203" s="47"/>
      <c r="AH203" s="47" t="s">
        <v>140</v>
      </c>
      <c r="AI203" s="47" t="s">
        <v>143</v>
      </c>
      <c r="AJ203" s="47"/>
      <c r="AK203" s="47" t="s">
        <v>59</v>
      </c>
      <c r="AL203" s="47" t="s">
        <v>59</v>
      </c>
      <c r="AM203" s="47" t="s">
        <v>99</v>
      </c>
      <c r="AN203" s="47" t="s">
        <v>80</v>
      </c>
      <c r="AO203" s="47"/>
      <c r="AP203" s="47"/>
      <c r="AQ203" s="47" t="s">
        <v>81</v>
      </c>
      <c r="AR203" s="47"/>
      <c r="AS203" s="47" t="s">
        <v>82</v>
      </c>
      <c r="AT203" s="47" t="s">
        <v>143</v>
      </c>
      <c r="AU203" s="47" t="s">
        <v>83</v>
      </c>
      <c r="AV203" s="47"/>
      <c r="AW203" s="47"/>
      <c r="AX203" s="47"/>
      <c r="AY203" s="49">
        <v>32712</v>
      </c>
      <c r="AZ203" s="47" t="s">
        <v>80</v>
      </c>
      <c r="BA203" s="47"/>
      <c r="BB203" s="47" t="s">
        <v>2359</v>
      </c>
      <c r="BC203" s="47" t="s">
        <v>2542</v>
      </c>
      <c r="BD203" s="47">
        <v>523298935</v>
      </c>
      <c r="BE203" s="50">
        <v>3677</v>
      </c>
      <c r="BF203" s="53">
        <v>994128</v>
      </c>
    </row>
    <row r="204" spans="1:58" s="51" customFormat="1" ht="23.4" hidden="1" x14ac:dyDescent="0.25">
      <c r="A204" s="46">
        <v>203</v>
      </c>
      <c r="B204" s="47">
        <v>9187</v>
      </c>
      <c r="C204" s="47"/>
      <c r="D204" s="47" t="s">
        <v>1774</v>
      </c>
      <c r="E204" s="47" t="s">
        <v>558</v>
      </c>
      <c r="F204" s="47" t="s">
        <v>1775</v>
      </c>
      <c r="G204" s="47" t="str">
        <f>CONCATENATE(TRIM(الجدول2[[#This Row],[الاسم الأول]])," ",TRIM(الجدول2[[#This Row],[اسم الأب]])," ",TRIM(الجدول2[[#This Row],[الكنية]]))</f>
        <v>منهل حسين بدرة</v>
      </c>
      <c r="H204" s="47" t="s">
        <v>1776</v>
      </c>
      <c r="I204" s="48" t="s">
        <v>1777</v>
      </c>
      <c r="J204" s="47" t="s">
        <v>58</v>
      </c>
      <c r="K204" s="47" t="s">
        <v>59</v>
      </c>
      <c r="L204" s="47" t="s">
        <v>78</v>
      </c>
      <c r="M204" s="47" t="s">
        <v>570</v>
      </c>
      <c r="N204" s="47" t="s">
        <v>61</v>
      </c>
      <c r="O204" s="49">
        <v>29382</v>
      </c>
      <c r="P204" s="47" t="s">
        <v>1778</v>
      </c>
      <c r="Q204" s="47" t="s">
        <v>63</v>
      </c>
      <c r="R204" s="48" t="s">
        <v>1779</v>
      </c>
      <c r="S204" s="47" t="s">
        <v>109</v>
      </c>
      <c r="T204" s="47">
        <v>1</v>
      </c>
      <c r="U204" s="47">
        <v>2</v>
      </c>
      <c r="V204" s="47" t="s">
        <v>66</v>
      </c>
      <c r="W204" s="47" t="s">
        <v>67</v>
      </c>
      <c r="X204" s="47" t="s">
        <v>68</v>
      </c>
      <c r="Y204" s="47" t="s">
        <v>94</v>
      </c>
      <c r="Z204" s="47" t="s">
        <v>554</v>
      </c>
      <c r="AA204" s="47"/>
      <c r="AB204" s="47" t="s">
        <v>1436</v>
      </c>
      <c r="AC204" s="47" t="s">
        <v>155</v>
      </c>
      <c r="AD204" s="47" t="s">
        <v>74</v>
      </c>
      <c r="AE204" s="49">
        <v>43906</v>
      </c>
      <c r="AF204" s="47" t="s">
        <v>156</v>
      </c>
      <c r="AG204" s="47"/>
      <c r="AH204" s="47" t="s">
        <v>140</v>
      </c>
      <c r="AI204" s="47" t="s">
        <v>143</v>
      </c>
      <c r="AJ204" s="47"/>
      <c r="AK204" s="47" t="s">
        <v>59</v>
      </c>
      <c r="AL204" s="47" t="s">
        <v>78</v>
      </c>
      <c r="AM204" s="47" t="s">
        <v>99</v>
      </c>
      <c r="AN204" s="47" t="s">
        <v>83</v>
      </c>
      <c r="AO204" s="47" t="s">
        <v>1780</v>
      </c>
      <c r="AP204" s="47" t="s">
        <v>68</v>
      </c>
      <c r="AQ204" s="47" t="s">
        <v>81</v>
      </c>
      <c r="AR204" s="47"/>
      <c r="AS204" s="47" t="s">
        <v>173</v>
      </c>
      <c r="AT204" s="47" t="s">
        <v>143</v>
      </c>
      <c r="AU204" s="47" t="s">
        <v>83</v>
      </c>
      <c r="AV204" s="47"/>
      <c r="AW204" s="47"/>
      <c r="AX204" s="47"/>
      <c r="AY204" s="49">
        <v>34903</v>
      </c>
      <c r="AZ204" s="47" t="s">
        <v>80</v>
      </c>
      <c r="BA204" s="47"/>
      <c r="BB204" s="47" t="s">
        <v>2359</v>
      </c>
      <c r="BC204" s="47" t="s">
        <v>2542</v>
      </c>
      <c r="BD204" s="47">
        <v>523238116</v>
      </c>
      <c r="BE204" s="50">
        <v>3387</v>
      </c>
      <c r="BF204" s="53">
        <v>994128</v>
      </c>
    </row>
    <row r="205" spans="1:58" s="51" customFormat="1" ht="23.4" hidden="1" x14ac:dyDescent="0.25">
      <c r="A205" s="46">
        <v>204</v>
      </c>
      <c r="B205" s="47">
        <v>9215</v>
      </c>
      <c r="C205" s="47"/>
      <c r="D205" s="47" t="s">
        <v>1781</v>
      </c>
      <c r="E205" s="47" t="s">
        <v>1782</v>
      </c>
      <c r="F205" s="47" t="s">
        <v>53</v>
      </c>
      <c r="G205" s="47" t="str">
        <f>CONCATENATE(TRIM(الجدول2[[#This Row],[الاسم الأول]])," ",TRIM(الجدول2[[#This Row],[اسم الأب]])," ",TRIM(الجدول2[[#This Row],[الكنية]]))</f>
        <v>منى عبدالحميد ابراهيم</v>
      </c>
      <c r="H205" s="47" t="s">
        <v>1783</v>
      </c>
      <c r="I205" s="48" t="s">
        <v>1784</v>
      </c>
      <c r="J205" s="47" t="s">
        <v>58</v>
      </c>
      <c r="K205" s="47" t="s">
        <v>59</v>
      </c>
      <c r="L205" s="47" t="s">
        <v>59</v>
      </c>
      <c r="M205" s="47" t="s">
        <v>60</v>
      </c>
      <c r="N205" s="47" t="s">
        <v>59</v>
      </c>
      <c r="O205" s="49">
        <v>27353</v>
      </c>
      <c r="P205" s="47" t="s">
        <v>1785</v>
      </c>
      <c r="Q205" s="47" t="s">
        <v>179</v>
      </c>
      <c r="R205" s="48" t="s">
        <v>1786</v>
      </c>
      <c r="S205" s="47" t="s">
        <v>1077</v>
      </c>
      <c r="T205" s="47"/>
      <c r="U205" s="47">
        <v>4</v>
      </c>
      <c r="V205" s="47" t="s">
        <v>66</v>
      </c>
      <c r="W205" s="47" t="s">
        <v>67</v>
      </c>
      <c r="X205" s="47" t="s">
        <v>68</v>
      </c>
      <c r="Y205" s="47" t="s">
        <v>169</v>
      </c>
      <c r="Z205" s="47" t="s">
        <v>1787</v>
      </c>
      <c r="AA205" s="47"/>
      <c r="AB205" s="47" t="s">
        <v>289</v>
      </c>
      <c r="AC205" s="47" t="s">
        <v>73</v>
      </c>
      <c r="AD205" s="47" t="s">
        <v>74</v>
      </c>
      <c r="AE205" s="49">
        <v>36490</v>
      </c>
      <c r="AF205" s="47" t="s">
        <v>123</v>
      </c>
      <c r="AG205" s="47"/>
      <c r="AH205" s="47" t="s">
        <v>2277</v>
      </c>
      <c r="AI205" s="47" t="s">
        <v>327</v>
      </c>
      <c r="AJ205" s="47" t="s">
        <v>401</v>
      </c>
      <c r="AK205" s="47" t="s">
        <v>59</v>
      </c>
      <c r="AL205" s="47" t="s">
        <v>59</v>
      </c>
      <c r="AM205" s="47" t="s">
        <v>99</v>
      </c>
      <c r="AN205" s="47" t="s">
        <v>80</v>
      </c>
      <c r="AO205" s="47"/>
      <c r="AP205" s="47"/>
      <c r="AQ205" s="47" t="s">
        <v>81</v>
      </c>
      <c r="AR205" s="47"/>
      <c r="AS205" s="47" t="s">
        <v>173</v>
      </c>
      <c r="AT205" s="47" t="s">
        <v>327</v>
      </c>
      <c r="AU205" s="47" t="s">
        <v>83</v>
      </c>
      <c r="AV205" s="47" t="s">
        <v>320</v>
      </c>
      <c r="AW205" s="47" t="s">
        <v>1788</v>
      </c>
      <c r="AX205" s="47" t="s">
        <v>401</v>
      </c>
      <c r="AY205" s="49">
        <v>38556</v>
      </c>
      <c r="AZ205" s="47" t="s">
        <v>80</v>
      </c>
      <c r="BA205" s="47"/>
      <c r="BB205" s="47" t="s">
        <v>2359</v>
      </c>
      <c r="BC205" s="47" t="s">
        <v>2542</v>
      </c>
      <c r="BD205" s="47">
        <v>523161226</v>
      </c>
      <c r="BE205" s="50">
        <v>2803</v>
      </c>
      <c r="BF205" s="53">
        <v>1409000</v>
      </c>
    </row>
    <row r="206" spans="1:58" s="51" customFormat="1" ht="23.4" hidden="1" x14ac:dyDescent="0.25">
      <c r="A206" s="46">
        <v>205</v>
      </c>
      <c r="B206" s="47">
        <v>9280</v>
      </c>
      <c r="C206" s="47"/>
      <c r="D206" s="47" t="s">
        <v>1789</v>
      </c>
      <c r="E206" s="47" t="s">
        <v>115</v>
      </c>
      <c r="F206" s="47" t="s">
        <v>817</v>
      </c>
      <c r="G206" s="47" t="str">
        <f>CONCATENATE(TRIM(الجدول2[[#This Row],[الاسم الأول]])," ",TRIM(الجدول2[[#This Row],[اسم الأب]])," ",TRIM(الجدول2[[#This Row],[الكنية]]))</f>
        <v>مها محمد مرهج</v>
      </c>
      <c r="H206" s="47" t="s">
        <v>818</v>
      </c>
      <c r="I206" s="48" t="s">
        <v>1790</v>
      </c>
      <c r="J206" s="47" t="s">
        <v>58</v>
      </c>
      <c r="K206" s="47" t="s">
        <v>59</v>
      </c>
      <c r="L206" s="47" t="s">
        <v>90</v>
      </c>
      <c r="M206" s="47" t="s">
        <v>298</v>
      </c>
      <c r="N206" s="47" t="s">
        <v>820</v>
      </c>
      <c r="O206" s="49">
        <v>32538</v>
      </c>
      <c r="P206" s="47" t="s">
        <v>1791</v>
      </c>
      <c r="Q206" s="47" t="s">
        <v>179</v>
      </c>
      <c r="R206" s="48" t="s">
        <v>1792</v>
      </c>
      <c r="S206" s="47" t="s">
        <v>109</v>
      </c>
      <c r="T206" s="47"/>
      <c r="U206" s="47">
        <v>3</v>
      </c>
      <c r="V206" s="47" t="s">
        <v>66</v>
      </c>
      <c r="W206" s="47" t="s">
        <v>67</v>
      </c>
      <c r="X206" s="47" t="s">
        <v>68</v>
      </c>
      <c r="Y206" s="47" t="s">
        <v>1382</v>
      </c>
      <c r="Z206" s="47" t="s">
        <v>1793</v>
      </c>
      <c r="AA206" s="47"/>
      <c r="AB206" s="47" t="s">
        <v>1794</v>
      </c>
      <c r="AC206" s="47" t="s">
        <v>73</v>
      </c>
      <c r="AD206" s="47" t="s">
        <v>74</v>
      </c>
      <c r="AE206" s="49">
        <v>40862</v>
      </c>
      <c r="AF206" s="47" t="s">
        <v>123</v>
      </c>
      <c r="AG206" s="47"/>
      <c r="AH206" s="47" t="s">
        <v>2277</v>
      </c>
      <c r="AI206" s="47" t="s">
        <v>327</v>
      </c>
      <c r="AJ206" s="47" t="s">
        <v>328</v>
      </c>
      <c r="AK206" s="47" t="s">
        <v>59</v>
      </c>
      <c r="AL206" s="47" t="s">
        <v>105</v>
      </c>
      <c r="AM206" s="47" t="s">
        <v>99</v>
      </c>
      <c r="AN206" s="47" t="s">
        <v>83</v>
      </c>
      <c r="AO206" s="47" t="s">
        <v>1795</v>
      </c>
      <c r="AP206" s="47" t="s">
        <v>68</v>
      </c>
      <c r="AQ206" s="47" t="s">
        <v>81</v>
      </c>
      <c r="AR206" s="47"/>
      <c r="AS206" s="47" t="s">
        <v>82</v>
      </c>
      <c r="AT206" s="47" t="s">
        <v>327</v>
      </c>
      <c r="AU206" s="47" t="s">
        <v>83</v>
      </c>
      <c r="AV206" s="47" t="s">
        <v>425</v>
      </c>
      <c r="AW206" s="47" t="s">
        <v>331</v>
      </c>
      <c r="AX206" s="47" t="s">
        <v>1559</v>
      </c>
      <c r="AY206" s="49">
        <v>40391</v>
      </c>
      <c r="AZ206" s="47" t="s">
        <v>80</v>
      </c>
      <c r="BA206" s="47"/>
      <c r="BB206" s="47" t="s">
        <v>2359</v>
      </c>
      <c r="BC206" s="47" t="s">
        <v>2542</v>
      </c>
      <c r="BD206" s="47">
        <v>523126601</v>
      </c>
      <c r="BE206" s="50">
        <v>2472</v>
      </c>
      <c r="BF206" s="53">
        <v>1354293</v>
      </c>
    </row>
    <row r="207" spans="1:58" s="51" customFormat="1" ht="23.4" hidden="1" x14ac:dyDescent="0.25">
      <c r="A207" s="46">
        <v>206</v>
      </c>
      <c r="B207" s="47">
        <v>9283</v>
      </c>
      <c r="C207" s="47">
        <v>1285418</v>
      </c>
      <c r="D207" s="47" t="s">
        <v>1796</v>
      </c>
      <c r="E207" s="47" t="s">
        <v>86</v>
      </c>
      <c r="F207" s="47" t="s">
        <v>115</v>
      </c>
      <c r="G207" s="47" t="str">
        <f>CONCATENATE(TRIM(الجدول2[[#This Row],[الاسم الأول]])," ",TRIM(الجدول2[[#This Row],[اسم الأب]])," ",TRIM(الجدول2[[#This Row],[الكنية]]))</f>
        <v>مهدي احمد محمد</v>
      </c>
      <c r="H207" s="47" t="s">
        <v>1797</v>
      </c>
      <c r="I207" s="48" t="s">
        <v>1798</v>
      </c>
      <c r="J207" s="47" t="s">
        <v>58</v>
      </c>
      <c r="K207" s="47" t="s">
        <v>59</v>
      </c>
      <c r="L207" s="47" t="s">
        <v>59</v>
      </c>
      <c r="M207" s="47" t="s">
        <v>60</v>
      </c>
      <c r="N207" s="47" t="s">
        <v>59</v>
      </c>
      <c r="O207" s="49">
        <v>29961</v>
      </c>
      <c r="P207" s="47" t="s">
        <v>1799</v>
      </c>
      <c r="Q207" s="47" t="s">
        <v>63</v>
      </c>
      <c r="R207" s="48" t="s">
        <v>1800</v>
      </c>
      <c r="S207" s="47" t="s">
        <v>109</v>
      </c>
      <c r="T207" s="47">
        <v>1</v>
      </c>
      <c r="U207" s="47">
        <v>3</v>
      </c>
      <c r="V207" s="47" t="s">
        <v>66</v>
      </c>
      <c r="W207" s="47" t="s">
        <v>67</v>
      </c>
      <c r="X207" s="47" t="s">
        <v>68</v>
      </c>
      <c r="Y207" s="47" t="s">
        <v>210</v>
      </c>
      <c r="Z207" s="47" t="s">
        <v>1801</v>
      </c>
      <c r="AA207" s="47"/>
      <c r="AB207" s="47" t="s">
        <v>1802</v>
      </c>
      <c r="AC207" s="47" t="s">
        <v>73</v>
      </c>
      <c r="AD207" s="47" t="s">
        <v>74</v>
      </c>
      <c r="AE207" s="49">
        <v>40118</v>
      </c>
      <c r="AF207" s="47" t="s">
        <v>123</v>
      </c>
      <c r="AG207" s="47"/>
      <c r="AH207" s="47" t="s">
        <v>2277</v>
      </c>
      <c r="AI207" s="47" t="s">
        <v>327</v>
      </c>
      <c r="AJ207" s="47" t="s">
        <v>686</v>
      </c>
      <c r="AK207" s="47" t="s">
        <v>59</v>
      </c>
      <c r="AL207" s="47" t="s">
        <v>59</v>
      </c>
      <c r="AM207" s="47" t="s">
        <v>99</v>
      </c>
      <c r="AN207" s="47" t="s">
        <v>80</v>
      </c>
      <c r="AO207" s="47"/>
      <c r="AP207" s="47"/>
      <c r="AQ207" s="47" t="s">
        <v>81</v>
      </c>
      <c r="AR207" s="47"/>
      <c r="AS207" s="47" t="s">
        <v>446</v>
      </c>
      <c r="AT207" s="47" t="s">
        <v>327</v>
      </c>
      <c r="AU207" s="47" t="s">
        <v>83</v>
      </c>
      <c r="AV207" s="47" t="s">
        <v>702</v>
      </c>
      <c r="AW207" s="47" t="s">
        <v>686</v>
      </c>
      <c r="AX207" s="47" t="s">
        <v>1286</v>
      </c>
      <c r="AY207" s="49">
        <v>38556</v>
      </c>
      <c r="AZ207" s="47" t="s">
        <v>80</v>
      </c>
      <c r="BA207" s="47"/>
      <c r="BB207" s="47" t="s">
        <v>2359</v>
      </c>
      <c r="BC207" s="47" t="s">
        <v>2542</v>
      </c>
      <c r="BD207" s="47">
        <v>523200516</v>
      </c>
      <c r="BE207" s="50">
        <v>3110</v>
      </c>
      <c r="BF207" s="53">
        <v>1399086</v>
      </c>
    </row>
    <row r="208" spans="1:58" s="51" customFormat="1" ht="23.4" hidden="1" x14ac:dyDescent="0.25">
      <c r="A208" s="46">
        <v>207</v>
      </c>
      <c r="B208" s="47">
        <v>9303</v>
      </c>
      <c r="C208" s="47">
        <v>1509232</v>
      </c>
      <c r="D208" s="47" t="s">
        <v>1803</v>
      </c>
      <c r="E208" s="47" t="s">
        <v>115</v>
      </c>
      <c r="F208" s="47" t="s">
        <v>1804</v>
      </c>
      <c r="G208" s="47" t="str">
        <f>CONCATENATE(TRIM(الجدول2[[#This Row],[الاسم الأول]])," ",TRIM(الجدول2[[#This Row],[اسم الأب]])," ",TRIM(الجدول2[[#This Row],[الكنية]]))</f>
        <v>مهران محمد مسعود</v>
      </c>
      <c r="H208" s="47" t="s">
        <v>1805</v>
      </c>
      <c r="I208" s="48" t="s">
        <v>1806</v>
      </c>
      <c r="J208" s="47" t="s">
        <v>58</v>
      </c>
      <c r="K208" s="47" t="s">
        <v>59</v>
      </c>
      <c r="L208" s="47" t="s">
        <v>141</v>
      </c>
      <c r="M208" s="47" t="s">
        <v>697</v>
      </c>
      <c r="N208" s="47" t="s">
        <v>1807</v>
      </c>
      <c r="O208" s="49">
        <v>29830</v>
      </c>
      <c r="P208" s="47" t="s">
        <v>1808</v>
      </c>
      <c r="Q208" s="47" t="s">
        <v>63</v>
      </c>
      <c r="R208" s="48" t="s">
        <v>1809</v>
      </c>
      <c r="S208" s="47" t="s">
        <v>109</v>
      </c>
      <c r="T208" s="47">
        <v>1</v>
      </c>
      <c r="U208" s="47">
        <v>2</v>
      </c>
      <c r="V208" s="47" t="s">
        <v>66</v>
      </c>
      <c r="W208" s="47" t="s">
        <v>67</v>
      </c>
      <c r="X208" s="47" t="s">
        <v>68</v>
      </c>
      <c r="Y208" s="47" t="s">
        <v>726</v>
      </c>
      <c r="Z208" s="47"/>
      <c r="AA208" s="47"/>
      <c r="AB208" s="47" t="s">
        <v>122</v>
      </c>
      <c r="AC208" s="47" t="s">
        <v>73</v>
      </c>
      <c r="AD208" s="47" t="s">
        <v>74</v>
      </c>
      <c r="AE208" s="49">
        <v>40860</v>
      </c>
      <c r="AF208" s="47" t="s">
        <v>156</v>
      </c>
      <c r="AG208" s="47"/>
      <c r="AH208" s="47" t="s">
        <v>2277</v>
      </c>
      <c r="AI208" s="47" t="s">
        <v>327</v>
      </c>
      <c r="AJ208" s="47" t="s">
        <v>686</v>
      </c>
      <c r="AK208" s="47" t="s">
        <v>59</v>
      </c>
      <c r="AL208" s="47" t="s">
        <v>59</v>
      </c>
      <c r="AM208" s="47" t="s">
        <v>158</v>
      </c>
      <c r="AN208" s="47" t="s">
        <v>83</v>
      </c>
      <c r="AO208" s="47" t="s">
        <v>1810</v>
      </c>
      <c r="AP208" s="47" t="s">
        <v>1811</v>
      </c>
      <c r="AQ208" s="47" t="s">
        <v>81</v>
      </c>
      <c r="AR208" s="47"/>
      <c r="AS208" s="47" t="s">
        <v>82</v>
      </c>
      <c r="AT208" s="47" t="s">
        <v>327</v>
      </c>
      <c r="AU208" s="47" t="s">
        <v>83</v>
      </c>
      <c r="AV208" s="47" t="s">
        <v>702</v>
      </c>
      <c r="AW208" s="47" t="s">
        <v>1812</v>
      </c>
      <c r="AX208" s="47" t="s">
        <v>1813</v>
      </c>
      <c r="AY208" s="49">
        <v>38943</v>
      </c>
      <c r="AZ208" s="47" t="s">
        <v>83</v>
      </c>
      <c r="BA208" s="47"/>
      <c r="BB208" s="47" t="s">
        <v>2359</v>
      </c>
      <c r="BC208" s="47" t="s">
        <v>2542</v>
      </c>
      <c r="BD208" s="47">
        <v>525979538</v>
      </c>
      <c r="BE208" s="50">
        <v>8383</v>
      </c>
      <c r="BF208" s="53">
        <v>1409000</v>
      </c>
    </row>
    <row r="209" spans="1:58" s="51" customFormat="1" ht="23.4" hidden="1" x14ac:dyDescent="0.25">
      <c r="A209" s="46">
        <v>208</v>
      </c>
      <c r="B209" s="47">
        <v>9333</v>
      </c>
      <c r="C209" s="47"/>
      <c r="D209" s="47" t="s">
        <v>1814</v>
      </c>
      <c r="E209" s="47" t="s">
        <v>115</v>
      </c>
      <c r="F209" s="47" t="s">
        <v>1815</v>
      </c>
      <c r="G209" s="47" t="str">
        <f>CONCATENATE(TRIM(الجدول2[[#This Row],[الاسم الأول]])," ",TRIM(الجدول2[[#This Row],[اسم الأب]])," ",TRIM(الجدول2[[#This Row],[الكنية]]))</f>
        <v>مهند محمد غنام</v>
      </c>
      <c r="H209" s="47" t="s">
        <v>1816</v>
      </c>
      <c r="I209" s="48" t="s">
        <v>1817</v>
      </c>
      <c r="J209" s="47" t="s">
        <v>58</v>
      </c>
      <c r="K209" s="47" t="s">
        <v>59</v>
      </c>
      <c r="L209" s="47" t="s">
        <v>59</v>
      </c>
      <c r="M209" s="47" t="s">
        <v>60</v>
      </c>
      <c r="N209" s="47" t="s">
        <v>1818</v>
      </c>
      <c r="O209" s="49">
        <v>30065</v>
      </c>
      <c r="P209" s="47" t="s">
        <v>630</v>
      </c>
      <c r="Q209" s="47" t="s">
        <v>63</v>
      </c>
      <c r="R209" s="48" t="s">
        <v>1819</v>
      </c>
      <c r="S209" s="47" t="s">
        <v>109</v>
      </c>
      <c r="T209" s="47">
        <v>1</v>
      </c>
      <c r="U209" s="47">
        <v>1</v>
      </c>
      <c r="V209" s="47" t="s">
        <v>66</v>
      </c>
      <c r="W209" s="47" t="s">
        <v>67</v>
      </c>
      <c r="X209" s="47" t="s">
        <v>68</v>
      </c>
      <c r="Y209" s="47" t="s">
        <v>94</v>
      </c>
      <c r="Z209" s="47" t="s">
        <v>221</v>
      </c>
      <c r="AA209" s="47" t="s">
        <v>633</v>
      </c>
      <c r="AB209" s="47" t="s">
        <v>473</v>
      </c>
      <c r="AC209" s="47" t="s">
        <v>73</v>
      </c>
      <c r="AD209" s="47" t="s">
        <v>74</v>
      </c>
      <c r="AE209" s="49">
        <v>40860</v>
      </c>
      <c r="AF209" s="47" t="s">
        <v>123</v>
      </c>
      <c r="AG209" s="47"/>
      <c r="AH209" s="47" t="s">
        <v>124</v>
      </c>
      <c r="AI209" s="47" t="s">
        <v>182</v>
      </c>
      <c r="AJ209" s="47" t="s">
        <v>1181</v>
      </c>
      <c r="AK209" s="47" t="s">
        <v>59</v>
      </c>
      <c r="AL209" s="47" t="s">
        <v>59</v>
      </c>
      <c r="AM209" s="47" t="s">
        <v>99</v>
      </c>
      <c r="AN209" s="47" t="s">
        <v>80</v>
      </c>
      <c r="AO209" s="47"/>
      <c r="AP209" s="47"/>
      <c r="AQ209" s="47" t="s">
        <v>81</v>
      </c>
      <c r="AR209" s="47"/>
      <c r="AS209" s="47" t="s">
        <v>82</v>
      </c>
      <c r="AT209" s="47" t="s">
        <v>182</v>
      </c>
      <c r="AU209" s="47" t="s">
        <v>83</v>
      </c>
      <c r="AV209" s="47" t="s">
        <v>59</v>
      </c>
      <c r="AW209" s="47" t="s">
        <v>869</v>
      </c>
      <c r="AX209" s="47" t="s">
        <v>1181</v>
      </c>
      <c r="AY209" s="49">
        <v>37829</v>
      </c>
      <c r="AZ209" s="47" t="s">
        <v>80</v>
      </c>
      <c r="BA209" s="47"/>
      <c r="BB209" s="47" t="s">
        <v>2359</v>
      </c>
      <c r="BC209" s="47" t="s">
        <v>2542</v>
      </c>
      <c r="BD209" s="47">
        <v>526060890</v>
      </c>
      <c r="BE209" s="50">
        <v>10292</v>
      </c>
      <c r="BF209" s="53">
        <v>1243000</v>
      </c>
    </row>
    <row r="210" spans="1:58" s="51" customFormat="1" ht="23.4" hidden="1" x14ac:dyDescent="0.25">
      <c r="A210" s="46">
        <v>209</v>
      </c>
      <c r="B210" s="47">
        <v>9436</v>
      </c>
      <c r="C210" s="47">
        <v>1634092</v>
      </c>
      <c r="D210" s="47" t="s">
        <v>1820</v>
      </c>
      <c r="E210" s="47" t="s">
        <v>1821</v>
      </c>
      <c r="F210" s="47" t="s">
        <v>115</v>
      </c>
      <c r="G210" s="47" t="str">
        <f>CONCATENATE(TRIM(الجدول2[[#This Row],[الاسم الأول]])," ",TRIM(الجدول2[[#This Row],[اسم الأب]])," ",TRIM(الجدول2[[#This Row],[الكنية]]))</f>
        <v>ميار سعد محمد</v>
      </c>
      <c r="H210" s="47" t="s">
        <v>1822</v>
      </c>
      <c r="I210" s="48" t="s">
        <v>1823</v>
      </c>
      <c r="J210" s="47" t="s">
        <v>58</v>
      </c>
      <c r="K210" s="47" t="s">
        <v>59</v>
      </c>
      <c r="L210" s="47" t="s">
        <v>59</v>
      </c>
      <c r="M210" s="47" t="s">
        <v>60</v>
      </c>
      <c r="N210" s="47" t="s">
        <v>59</v>
      </c>
      <c r="O210" s="49">
        <v>35796</v>
      </c>
      <c r="P210" s="47" t="s">
        <v>1824</v>
      </c>
      <c r="Q210" s="47" t="s">
        <v>179</v>
      </c>
      <c r="R210" s="48" t="s">
        <v>1825</v>
      </c>
      <c r="S210" s="47" t="s">
        <v>65</v>
      </c>
      <c r="T210" s="47"/>
      <c r="U210" s="47"/>
      <c r="V210" s="47" t="s">
        <v>66</v>
      </c>
      <c r="W210" s="47" t="s">
        <v>67</v>
      </c>
      <c r="X210" s="47" t="s">
        <v>68</v>
      </c>
      <c r="Y210" s="54" t="s">
        <v>233</v>
      </c>
      <c r="Z210" s="47" t="s">
        <v>234</v>
      </c>
      <c r="AA210" s="47"/>
      <c r="AB210" s="47" t="s">
        <v>72</v>
      </c>
      <c r="AC210" s="47" t="s">
        <v>73</v>
      </c>
      <c r="AD210" s="47" t="s">
        <v>74</v>
      </c>
      <c r="AE210" s="49">
        <v>45494</v>
      </c>
      <c r="AF210" s="47" t="s">
        <v>75</v>
      </c>
      <c r="AG210" s="47"/>
      <c r="AH210" s="47" t="s">
        <v>2277</v>
      </c>
      <c r="AI210" s="47" t="s">
        <v>76</v>
      </c>
      <c r="AJ210" s="47" t="s">
        <v>344</v>
      </c>
      <c r="AK210" s="47" t="s">
        <v>59</v>
      </c>
      <c r="AL210" s="47" t="s">
        <v>59</v>
      </c>
      <c r="AM210" s="47" t="s">
        <v>99</v>
      </c>
      <c r="AN210" s="47" t="s">
        <v>80</v>
      </c>
      <c r="AO210" s="47"/>
      <c r="AP210" s="47"/>
      <c r="AQ210" s="47" t="s">
        <v>81</v>
      </c>
      <c r="AR210" s="47"/>
      <c r="AS210" s="47" t="s">
        <v>82</v>
      </c>
      <c r="AT210" s="47" t="s">
        <v>76</v>
      </c>
      <c r="AU210" s="47" t="s">
        <v>83</v>
      </c>
      <c r="AV210" s="47" t="s">
        <v>184</v>
      </c>
      <c r="AW210" s="47" t="s">
        <v>344</v>
      </c>
      <c r="AX210" s="47" t="s">
        <v>344</v>
      </c>
      <c r="AY210" s="49">
        <v>44558</v>
      </c>
      <c r="AZ210" s="47" t="s">
        <v>80</v>
      </c>
      <c r="BA210" s="47"/>
      <c r="BB210" s="47" t="s">
        <v>2359</v>
      </c>
      <c r="BC210" s="47" t="s">
        <v>2542</v>
      </c>
      <c r="BD210" s="47">
        <v>524024151</v>
      </c>
      <c r="BE210" s="50">
        <v>5448</v>
      </c>
      <c r="BF210" s="53">
        <v>943000</v>
      </c>
    </row>
    <row r="211" spans="1:58" s="51" customFormat="1" ht="23.4" hidden="1" x14ac:dyDescent="0.25">
      <c r="A211" s="46">
        <v>210</v>
      </c>
      <c r="B211" s="47">
        <v>9439</v>
      </c>
      <c r="C211" s="47"/>
      <c r="D211" s="47" t="s">
        <v>1826</v>
      </c>
      <c r="E211" s="47" t="s">
        <v>1827</v>
      </c>
      <c r="F211" s="47" t="s">
        <v>515</v>
      </c>
      <c r="G211" s="47" t="str">
        <f>CONCATENATE(TRIM(الجدول2[[#This Row],[الاسم الأول]])," ",TRIM(الجدول2[[#This Row],[اسم الأب]])," ",TRIM(الجدول2[[#This Row],[الكنية]]))</f>
        <v>ميثال فائز حمود</v>
      </c>
      <c r="H211" s="47" t="s">
        <v>1828</v>
      </c>
      <c r="I211" s="48" t="s">
        <v>1829</v>
      </c>
      <c r="J211" s="47" t="s">
        <v>58</v>
      </c>
      <c r="K211" s="47" t="s">
        <v>59</v>
      </c>
      <c r="L211" s="47" t="s">
        <v>59</v>
      </c>
      <c r="M211" s="47" t="s">
        <v>60</v>
      </c>
      <c r="N211" s="47" t="s">
        <v>1830</v>
      </c>
      <c r="O211" s="49">
        <v>32874</v>
      </c>
      <c r="P211" s="47" t="s">
        <v>1831</v>
      </c>
      <c r="Q211" s="47" t="s">
        <v>179</v>
      </c>
      <c r="R211" s="48" t="s">
        <v>1832</v>
      </c>
      <c r="S211" s="47" t="s">
        <v>109</v>
      </c>
      <c r="T211" s="47"/>
      <c r="U211" s="47">
        <v>0</v>
      </c>
      <c r="V211" s="47" t="s">
        <v>66</v>
      </c>
      <c r="W211" s="47" t="s">
        <v>67</v>
      </c>
      <c r="X211" s="47" t="s">
        <v>68</v>
      </c>
      <c r="Y211" s="47" t="s">
        <v>94</v>
      </c>
      <c r="Z211" s="47" t="s">
        <v>221</v>
      </c>
      <c r="AA211" s="47" t="s">
        <v>1135</v>
      </c>
      <c r="AB211" s="47" t="s">
        <v>642</v>
      </c>
      <c r="AC211" s="47" t="s">
        <v>155</v>
      </c>
      <c r="AD211" s="47" t="s">
        <v>74</v>
      </c>
      <c r="AE211" s="49">
        <v>43905</v>
      </c>
      <c r="AF211" s="47" t="s">
        <v>123</v>
      </c>
      <c r="AG211" s="47"/>
      <c r="AH211" s="47" t="s">
        <v>140</v>
      </c>
      <c r="AI211" s="47" t="s">
        <v>143</v>
      </c>
      <c r="AJ211" s="47"/>
      <c r="AK211" s="47" t="s">
        <v>59</v>
      </c>
      <c r="AL211" s="47" t="s">
        <v>59</v>
      </c>
      <c r="AM211" s="47" t="s">
        <v>99</v>
      </c>
      <c r="AN211" s="47" t="s">
        <v>80</v>
      </c>
      <c r="AO211" s="47"/>
      <c r="AP211" s="47"/>
      <c r="AQ211" s="47" t="s">
        <v>81</v>
      </c>
      <c r="AR211" s="47"/>
      <c r="AS211" s="47" t="s">
        <v>173</v>
      </c>
      <c r="AT211" s="47" t="s">
        <v>143</v>
      </c>
      <c r="AU211" s="47" t="s">
        <v>83</v>
      </c>
      <c r="AV211" s="47"/>
      <c r="AW211" s="47"/>
      <c r="AX211" s="47"/>
      <c r="AY211" s="49">
        <v>38557</v>
      </c>
      <c r="AZ211" s="47" t="s">
        <v>80</v>
      </c>
      <c r="BA211" s="47"/>
      <c r="BB211" s="47" t="s">
        <v>2359</v>
      </c>
      <c r="BC211" s="47" t="s">
        <v>2542</v>
      </c>
      <c r="BD211" s="47">
        <v>524095595</v>
      </c>
      <c r="BE211" s="50">
        <v>6064</v>
      </c>
      <c r="BF211" s="53">
        <v>993666</v>
      </c>
    </row>
    <row r="212" spans="1:58" s="51" customFormat="1" ht="23.4" hidden="1" x14ac:dyDescent="0.25">
      <c r="A212" s="46">
        <v>211</v>
      </c>
      <c r="B212" s="47">
        <v>9459</v>
      </c>
      <c r="C212" s="47">
        <v>1277596</v>
      </c>
      <c r="D212" s="47" t="s">
        <v>1833</v>
      </c>
      <c r="E212" s="47" t="s">
        <v>1834</v>
      </c>
      <c r="F212" s="47" t="s">
        <v>817</v>
      </c>
      <c r="G212" s="47" t="str">
        <f>CONCATENATE(TRIM(الجدول2[[#This Row],[الاسم الأول]])," ",TRIM(الجدول2[[#This Row],[اسم الأب]])," ",TRIM(الجدول2[[#This Row],[الكنية]]))</f>
        <v>ميس جودات مرهج</v>
      </c>
      <c r="H212" s="47" t="s">
        <v>1835</v>
      </c>
      <c r="I212" s="48" t="s">
        <v>1836</v>
      </c>
      <c r="J212" s="47" t="s">
        <v>58</v>
      </c>
      <c r="K212" s="47" t="s">
        <v>59</v>
      </c>
      <c r="L212" s="47" t="s">
        <v>59</v>
      </c>
      <c r="M212" s="47" t="s">
        <v>60</v>
      </c>
      <c r="N212" s="47" t="s">
        <v>1837</v>
      </c>
      <c r="O212" s="49">
        <v>31301</v>
      </c>
      <c r="P212" s="47" t="s">
        <v>1838</v>
      </c>
      <c r="Q212" s="47" t="s">
        <v>179</v>
      </c>
      <c r="R212" s="48" t="s">
        <v>1839</v>
      </c>
      <c r="S212" s="47" t="s">
        <v>109</v>
      </c>
      <c r="T212" s="47"/>
      <c r="U212" s="47">
        <v>2</v>
      </c>
      <c r="V212" s="47" t="s">
        <v>66</v>
      </c>
      <c r="W212" s="47" t="s">
        <v>67</v>
      </c>
      <c r="X212" s="47" t="s">
        <v>68</v>
      </c>
      <c r="Y212" s="47" t="s">
        <v>501</v>
      </c>
      <c r="Z212" s="47" t="s">
        <v>1840</v>
      </c>
      <c r="AA212" s="47"/>
      <c r="AB212" s="47" t="s">
        <v>1841</v>
      </c>
      <c r="AC212" s="47" t="s">
        <v>73</v>
      </c>
      <c r="AD212" s="47" t="s">
        <v>74</v>
      </c>
      <c r="AE212" s="49">
        <v>40028</v>
      </c>
      <c r="AF212" s="47" t="s">
        <v>123</v>
      </c>
      <c r="AG212" s="47"/>
      <c r="AH212" s="47" t="s">
        <v>2277</v>
      </c>
      <c r="AI212" s="47" t="s">
        <v>327</v>
      </c>
      <c r="AJ212" s="47" t="s">
        <v>1842</v>
      </c>
      <c r="AK212" s="47" t="s">
        <v>59</v>
      </c>
      <c r="AL212" s="47" t="s">
        <v>59</v>
      </c>
      <c r="AM212" s="47" t="s">
        <v>99</v>
      </c>
      <c r="AN212" s="47" t="s">
        <v>83</v>
      </c>
      <c r="AO212" s="47" t="s">
        <v>1843</v>
      </c>
      <c r="AP212" s="47" t="s">
        <v>701</v>
      </c>
      <c r="AQ212" s="47" t="s">
        <v>81</v>
      </c>
      <c r="AR212" s="47"/>
      <c r="AS212" s="47" t="s">
        <v>236</v>
      </c>
      <c r="AT212" s="47" t="s">
        <v>327</v>
      </c>
      <c r="AU212" s="47" t="s">
        <v>83</v>
      </c>
      <c r="AV212" s="47" t="s">
        <v>61</v>
      </c>
      <c r="AW212" s="47" t="s">
        <v>453</v>
      </c>
      <c r="AX212" s="47" t="s">
        <v>1844</v>
      </c>
      <c r="AY212" s="49">
        <v>41479</v>
      </c>
      <c r="AZ212" s="47" t="s">
        <v>83</v>
      </c>
      <c r="BA212" s="47" t="s">
        <v>938</v>
      </c>
      <c r="BB212" s="47" t="s">
        <v>2359</v>
      </c>
      <c r="BC212" s="47" t="s">
        <v>2542</v>
      </c>
      <c r="BD212" s="47">
        <v>523998919</v>
      </c>
      <c r="BE212" s="50">
        <v>5202</v>
      </c>
      <c r="BF212" s="53">
        <v>1409000</v>
      </c>
    </row>
    <row r="213" spans="1:58" s="51" customFormat="1" ht="23.4" hidden="1" x14ac:dyDescent="0.25">
      <c r="A213" s="46">
        <v>212</v>
      </c>
      <c r="B213" s="47">
        <v>9462</v>
      </c>
      <c r="C213" s="47">
        <v>1634094</v>
      </c>
      <c r="D213" s="47" t="s">
        <v>1833</v>
      </c>
      <c r="E213" s="47" t="s">
        <v>115</v>
      </c>
      <c r="F213" s="47" t="s">
        <v>55</v>
      </c>
      <c r="G213" s="47" t="str">
        <f>CONCATENATE(TRIM(الجدول2[[#This Row],[الاسم الأول]])," ",TRIM(الجدول2[[#This Row],[اسم الأب]])," ",TRIM(الجدول2[[#This Row],[الكنية]]))</f>
        <v>ميس محمد حسن</v>
      </c>
      <c r="H213" s="47" t="s">
        <v>1845</v>
      </c>
      <c r="I213" s="48" t="s">
        <v>1846</v>
      </c>
      <c r="J213" s="47" t="s">
        <v>58</v>
      </c>
      <c r="K213" s="47" t="s">
        <v>59</v>
      </c>
      <c r="L213" s="47" t="s">
        <v>59</v>
      </c>
      <c r="M213" s="47" t="s">
        <v>1683</v>
      </c>
      <c r="N213" s="47" t="s">
        <v>59</v>
      </c>
      <c r="O213" s="49">
        <v>35876</v>
      </c>
      <c r="P213" s="47" t="s">
        <v>1847</v>
      </c>
      <c r="Q213" s="47" t="s">
        <v>179</v>
      </c>
      <c r="R213" s="48" t="s">
        <v>1848</v>
      </c>
      <c r="S213" s="47" t="s">
        <v>65</v>
      </c>
      <c r="T213" s="47"/>
      <c r="U213" s="47"/>
      <c r="V213" s="47" t="s">
        <v>66</v>
      </c>
      <c r="W213" s="47" t="s">
        <v>67</v>
      </c>
      <c r="X213" s="47" t="s">
        <v>68</v>
      </c>
      <c r="Y213" s="54" t="s">
        <v>233</v>
      </c>
      <c r="Z213" s="47" t="s">
        <v>234</v>
      </c>
      <c r="AA213" s="47"/>
      <c r="AB213" s="47" t="s">
        <v>72</v>
      </c>
      <c r="AC213" s="47" t="s">
        <v>73</v>
      </c>
      <c r="AD213" s="47" t="s">
        <v>74</v>
      </c>
      <c r="AE213" s="49">
        <v>45494</v>
      </c>
      <c r="AF213" s="47" t="s">
        <v>75</v>
      </c>
      <c r="AG213" s="47"/>
      <c r="AH213" s="47" t="s">
        <v>2277</v>
      </c>
      <c r="AI213" s="47" t="s">
        <v>76</v>
      </c>
      <c r="AJ213" s="47" t="s">
        <v>858</v>
      </c>
      <c r="AK213" s="47" t="s">
        <v>59</v>
      </c>
      <c r="AL213" s="47" t="s">
        <v>59</v>
      </c>
      <c r="AM213" s="47" t="s">
        <v>99</v>
      </c>
      <c r="AN213" s="47" t="s">
        <v>80</v>
      </c>
      <c r="AO213" s="47"/>
      <c r="AP213" s="47"/>
      <c r="AQ213" s="47" t="s">
        <v>81</v>
      </c>
      <c r="AR213" s="47"/>
      <c r="AS213" s="47" t="s">
        <v>82</v>
      </c>
      <c r="AT213" s="47" t="s">
        <v>76</v>
      </c>
      <c r="AU213" s="47" t="s">
        <v>83</v>
      </c>
      <c r="AV213" s="47" t="s">
        <v>59</v>
      </c>
      <c r="AW213" s="47" t="s">
        <v>100</v>
      </c>
      <c r="AX213" s="47" t="s">
        <v>1849</v>
      </c>
      <c r="AY213" s="49">
        <v>44398</v>
      </c>
      <c r="AZ213" s="47" t="s">
        <v>80</v>
      </c>
      <c r="BA213" s="47"/>
      <c r="BB213" s="47" t="s">
        <v>2359</v>
      </c>
      <c r="BC213" s="47" t="s">
        <v>2542</v>
      </c>
      <c r="BD213" s="47">
        <v>523988800</v>
      </c>
      <c r="BE213" s="50">
        <v>5114</v>
      </c>
      <c r="BF213" s="53">
        <v>943000</v>
      </c>
    </row>
    <row r="214" spans="1:58" s="51" customFormat="1" ht="23.4" hidden="1" x14ac:dyDescent="0.25">
      <c r="A214" s="46">
        <v>213</v>
      </c>
      <c r="B214" s="47">
        <v>9470</v>
      </c>
      <c r="C214" s="47"/>
      <c r="D214" s="47" t="s">
        <v>1850</v>
      </c>
      <c r="E214" s="47" t="s">
        <v>86</v>
      </c>
      <c r="F214" s="47" t="s">
        <v>228</v>
      </c>
      <c r="G214" s="47" t="str">
        <f>CONCATENATE(TRIM(الجدول2[[#This Row],[الاسم الأول]])," ",TRIM(الجدول2[[#This Row],[اسم الأب]])," ",TRIM(الجدول2[[#This Row],[الكنية]]))</f>
        <v>ميساء احمد محمود</v>
      </c>
      <c r="H214" s="47" t="s">
        <v>1851</v>
      </c>
      <c r="I214" s="48" t="s">
        <v>1852</v>
      </c>
      <c r="J214" s="47" t="s">
        <v>58</v>
      </c>
      <c r="K214" s="47" t="s">
        <v>1853</v>
      </c>
      <c r="L214" s="47" t="s">
        <v>1854</v>
      </c>
      <c r="M214" s="47" t="s">
        <v>1855</v>
      </c>
      <c r="N214" s="47" t="s">
        <v>1856</v>
      </c>
      <c r="O214" s="49">
        <v>27877</v>
      </c>
      <c r="P214" s="47" t="s">
        <v>1857</v>
      </c>
      <c r="Q214" s="47" t="s">
        <v>179</v>
      </c>
      <c r="R214" s="48" t="s">
        <v>1858</v>
      </c>
      <c r="S214" s="47" t="s">
        <v>65</v>
      </c>
      <c r="T214" s="47"/>
      <c r="U214" s="47"/>
      <c r="V214" s="47" t="s">
        <v>66</v>
      </c>
      <c r="W214" s="47" t="s">
        <v>67</v>
      </c>
      <c r="X214" s="47" t="s">
        <v>68</v>
      </c>
      <c r="Y214" s="47" t="s">
        <v>169</v>
      </c>
      <c r="Z214" s="47" t="s">
        <v>170</v>
      </c>
      <c r="AA214" s="47" t="s">
        <v>171</v>
      </c>
      <c r="AB214" s="47" t="s">
        <v>642</v>
      </c>
      <c r="AC214" s="47" t="s">
        <v>155</v>
      </c>
      <c r="AD214" s="47" t="s">
        <v>74</v>
      </c>
      <c r="AE214" s="49">
        <v>44054</v>
      </c>
      <c r="AF214" s="47" t="s">
        <v>123</v>
      </c>
      <c r="AG214" s="47"/>
      <c r="AH214" s="47" t="s">
        <v>140</v>
      </c>
      <c r="AI214" s="47" t="s">
        <v>143</v>
      </c>
      <c r="AJ214" s="47"/>
      <c r="AK214" s="47" t="s">
        <v>59</v>
      </c>
      <c r="AL214" s="47" t="s">
        <v>59</v>
      </c>
      <c r="AM214" s="47" t="s">
        <v>158</v>
      </c>
      <c r="AN214" s="47" t="s">
        <v>80</v>
      </c>
      <c r="AO214" s="47"/>
      <c r="AP214" s="47"/>
      <c r="AQ214" s="47" t="s">
        <v>81</v>
      </c>
      <c r="AR214" s="47"/>
      <c r="AS214" s="47" t="s">
        <v>82</v>
      </c>
      <c r="AT214" s="47" t="s">
        <v>143</v>
      </c>
      <c r="AU214" s="47" t="s">
        <v>83</v>
      </c>
      <c r="AV214" s="47"/>
      <c r="AW214" s="47"/>
      <c r="AX214" s="47"/>
      <c r="AY214" s="49">
        <v>33077</v>
      </c>
      <c r="AZ214" s="47" t="s">
        <v>80</v>
      </c>
      <c r="BA214" s="47"/>
      <c r="BB214" s="47" t="s">
        <v>2359</v>
      </c>
      <c r="BC214" s="47" t="s">
        <v>2542</v>
      </c>
      <c r="BD214" s="47">
        <v>523078605</v>
      </c>
      <c r="BE214" s="50">
        <v>1985</v>
      </c>
      <c r="BF214" s="53">
        <v>994128</v>
      </c>
    </row>
    <row r="215" spans="1:58" s="51" customFormat="1" ht="23.4" hidden="1" x14ac:dyDescent="0.25">
      <c r="A215" s="46">
        <v>214</v>
      </c>
      <c r="B215" s="47">
        <v>45625</v>
      </c>
      <c r="C215" s="47"/>
      <c r="D215" s="47" t="s">
        <v>1850</v>
      </c>
      <c r="E215" s="47" t="s">
        <v>1859</v>
      </c>
      <c r="F215" s="47" t="s">
        <v>1859</v>
      </c>
      <c r="G215" s="47" t="str">
        <f>CONCATENATE(TRIM(الجدول2[[#This Row],[الاسم الأول]])," ",TRIM(الجدول2[[#This Row],[اسم الأب]])," ",TRIM(الجدول2[[#This Row],[الكنية]]))</f>
        <v>ميساء حماد حماد</v>
      </c>
      <c r="H215" s="47" t="s">
        <v>1860</v>
      </c>
      <c r="I215" s="48">
        <v>10160023495</v>
      </c>
      <c r="J215" s="47" t="s">
        <v>58</v>
      </c>
      <c r="K215" s="47" t="s">
        <v>59</v>
      </c>
      <c r="L215" s="47" t="s">
        <v>164</v>
      </c>
      <c r="M215" s="47" t="s">
        <v>165</v>
      </c>
      <c r="N215" s="47" t="s">
        <v>164</v>
      </c>
      <c r="O215" s="49">
        <v>28001</v>
      </c>
      <c r="P215" s="47" t="s">
        <v>1861</v>
      </c>
      <c r="Q215" s="47" t="s">
        <v>179</v>
      </c>
      <c r="R215" s="48" t="s">
        <v>1862</v>
      </c>
      <c r="S215" s="47" t="s">
        <v>109</v>
      </c>
      <c r="T215" s="47"/>
      <c r="U215" s="47">
        <v>3</v>
      </c>
      <c r="V215" s="47" t="s">
        <v>66</v>
      </c>
      <c r="W215" s="47" t="s">
        <v>67</v>
      </c>
      <c r="X215" s="47" t="s">
        <v>68</v>
      </c>
      <c r="Y215" s="47" t="s">
        <v>501</v>
      </c>
      <c r="Z215" s="47" t="s">
        <v>1863</v>
      </c>
      <c r="AA215" s="47"/>
      <c r="AB215" s="47" t="s">
        <v>1864</v>
      </c>
      <c r="AC215" s="47" t="s">
        <v>73</v>
      </c>
      <c r="AD215" s="47" t="s">
        <v>74</v>
      </c>
      <c r="AE215" s="49">
        <v>37209</v>
      </c>
      <c r="AF215" s="47" t="s">
        <v>123</v>
      </c>
      <c r="AG215" s="47"/>
      <c r="AH215" s="47" t="s">
        <v>124</v>
      </c>
      <c r="AI215" s="47" t="s">
        <v>125</v>
      </c>
      <c r="AJ215" s="47"/>
      <c r="AK215" s="47" t="s">
        <v>59</v>
      </c>
      <c r="AL215" s="47" t="s">
        <v>164</v>
      </c>
      <c r="AM215" s="47" t="s">
        <v>99</v>
      </c>
      <c r="AN215" s="47" t="s">
        <v>83</v>
      </c>
      <c r="AO215" s="47" t="s">
        <v>1865</v>
      </c>
      <c r="AP215" s="47" t="s">
        <v>1866</v>
      </c>
      <c r="AQ215" s="47" t="s">
        <v>81</v>
      </c>
      <c r="AR215" s="47"/>
      <c r="AS215" s="47" t="s">
        <v>82</v>
      </c>
      <c r="AT215" s="47" t="s">
        <v>128</v>
      </c>
      <c r="AU215" s="47" t="s">
        <v>83</v>
      </c>
      <c r="AV215" s="47"/>
      <c r="AW215" s="47"/>
      <c r="AX215" s="47" t="s">
        <v>355</v>
      </c>
      <c r="AY215" s="49">
        <v>35248</v>
      </c>
      <c r="AZ215" s="47" t="s">
        <v>80</v>
      </c>
      <c r="BA215" s="47"/>
      <c r="BB215" s="47" t="s">
        <v>2359</v>
      </c>
      <c r="BC215" s="47" t="s">
        <v>2542</v>
      </c>
      <c r="BD215" s="47">
        <v>524051108</v>
      </c>
      <c r="BE215" s="50">
        <v>5673</v>
      </c>
      <c r="BF215" s="53">
        <v>1243000</v>
      </c>
    </row>
    <row r="216" spans="1:58" s="51" customFormat="1" ht="23.4" hidden="1" x14ac:dyDescent="0.25">
      <c r="A216" s="46">
        <v>215</v>
      </c>
      <c r="B216" s="47">
        <v>45627</v>
      </c>
      <c r="C216" s="47"/>
      <c r="D216" s="47" t="s">
        <v>1850</v>
      </c>
      <c r="E216" s="47" t="s">
        <v>1782</v>
      </c>
      <c r="F216" s="47" t="s">
        <v>1867</v>
      </c>
      <c r="G216" s="47" t="str">
        <f>CONCATENATE(TRIM(الجدول2[[#This Row],[الاسم الأول]])," ",TRIM(الجدول2[[#This Row],[اسم الأب]])," ",TRIM(الجدول2[[#This Row],[الكنية]]))</f>
        <v>ميساء عبدالحميد منصور</v>
      </c>
      <c r="H216" s="47" t="s">
        <v>1868</v>
      </c>
      <c r="I216" s="48">
        <v>10160052841</v>
      </c>
      <c r="J216" s="47" t="s">
        <v>58</v>
      </c>
      <c r="K216" s="47" t="s">
        <v>59</v>
      </c>
      <c r="L216" s="47" t="s">
        <v>164</v>
      </c>
      <c r="M216" s="47" t="s">
        <v>165</v>
      </c>
      <c r="N216" s="47" t="s">
        <v>1869</v>
      </c>
      <c r="O216" s="49">
        <v>30341</v>
      </c>
      <c r="P216" s="47" t="s">
        <v>1870</v>
      </c>
      <c r="Q216" s="47" t="s">
        <v>179</v>
      </c>
      <c r="R216" s="48" t="s">
        <v>1871</v>
      </c>
      <c r="S216" s="47" t="s">
        <v>109</v>
      </c>
      <c r="T216" s="47"/>
      <c r="U216" s="47">
        <v>0</v>
      </c>
      <c r="V216" s="47" t="s">
        <v>66</v>
      </c>
      <c r="W216" s="47" t="s">
        <v>67</v>
      </c>
      <c r="X216" s="47" t="s">
        <v>68</v>
      </c>
      <c r="Y216" s="47" t="s">
        <v>137</v>
      </c>
      <c r="Z216" s="47"/>
      <c r="AA216" s="47"/>
      <c r="AB216" s="47" t="s">
        <v>1872</v>
      </c>
      <c r="AC216" s="47" t="s">
        <v>73</v>
      </c>
      <c r="AD216" s="47" t="s">
        <v>74</v>
      </c>
      <c r="AE216" s="49">
        <v>41296</v>
      </c>
      <c r="AF216" s="47" t="s">
        <v>123</v>
      </c>
      <c r="AG216" s="47"/>
      <c r="AH216" s="47" t="s">
        <v>124</v>
      </c>
      <c r="AI216" s="47" t="s">
        <v>125</v>
      </c>
      <c r="AJ216" s="47"/>
      <c r="AK216" s="47" t="s">
        <v>1873</v>
      </c>
      <c r="AL216" s="47" t="s">
        <v>1874</v>
      </c>
      <c r="AM216" s="47" t="s">
        <v>99</v>
      </c>
      <c r="AN216" s="47" t="s">
        <v>80</v>
      </c>
      <c r="AO216" s="47"/>
      <c r="AP216" s="47"/>
      <c r="AQ216" s="47" t="s">
        <v>81</v>
      </c>
      <c r="AR216" s="47"/>
      <c r="AS216" s="47" t="s">
        <v>82</v>
      </c>
      <c r="AT216" s="47" t="s">
        <v>327</v>
      </c>
      <c r="AU216" s="47" t="s">
        <v>83</v>
      </c>
      <c r="AV216" s="47" t="s">
        <v>61</v>
      </c>
      <c r="AW216" s="47" t="s">
        <v>686</v>
      </c>
      <c r="AX216" s="47" t="s">
        <v>686</v>
      </c>
      <c r="AY216" s="49">
        <v>44417</v>
      </c>
      <c r="AZ216" s="47" t="s">
        <v>80</v>
      </c>
      <c r="BA216" s="47" t="s">
        <v>1875</v>
      </c>
      <c r="BB216" s="47" t="s">
        <v>2358</v>
      </c>
      <c r="BC216" s="47" t="s">
        <v>2542</v>
      </c>
      <c r="BD216" s="47">
        <v>528128768</v>
      </c>
      <c r="BE216" s="50">
        <v>22764</v>
      </c>
      <c r="BF216" s="53">
        <v>1243000</v>
      </c>
    </row>
    <row r="217" spans="1:58" s="51" customFormat="1" ht="23.4" hidden="1" x14ac:dyDescent="0.25">
      <c r="A217" s="46">
        <v>216</v>
      </c>
      <c r="B217" s="47">
        <v>9479</v>
      </c>
      <c r="C217" s="47"/>
      <c r="D217" s="47" t="s">
        <v>1850</v>
      </c>
      <c r="E217" s="47" t="s">
        <v>131</v>
      </c>
      <c r="F217" s="47" t="s">
        <v>131</v>
      </c>
      <c r="G217" s="47" t="str">
        <f>CONCATENATE(TRIM(الجدول2[[#This Row],[الاسم الأول]])," ",TRIM(الجدول2[[#This Row],[اسم الأب]])," ",TRIM(الجدول2[[#This Row],[الكنية]]))</f>
        <v>ميساء علي علي</v>
      </c>
      <c r="H217" s="47" t="s">
        <v>1876</v>
      </c>
      <c r="I217" s="48" t="s">
        <v>1877</v>
      </c>
      <c r="J217" s="47" t="s">
        <v>58</v>
      </c>
      <c r="K217" s="47" t="s">
        <v>59</v>
      </c>
      <c r="L217" s="47" t="s">
        <v>59</v>
      </c>
      <c r="M217" s="47" t="s">
        <v>544</v>
      </c>
      <c r="N217" s="47" t="s">
        <v>544</v>
      </c>
      <c r="O217" s="49">
        <v>29952</v>
      </c>
      <c r="P217" s="47" t="s">
        <v>1878</v>
      </c>
      <c r="Q217" s="47" t="s">
        <v>179</v>
      </c>
      <c r="R217" s="48" t="s">
        <v>1879</v>
      </c>
      <c r="S217" s="47" t="s">
        <v>109</v>
      </c>
      <c r="T217" s="47"/>
      <c r="U217" s="47">
        <v>4</v>
      </c>
      <c r="V217" s="47" t="s">
        <v>66</v>
      </c>
      <c r="W217" s="47" t="s">
        <v>67</v>
      </c>
      <c r="X217" s="47" t="s">
        <v>68</v>
      </c>
      <c r="Y217" s="47" t="s">
        <v>94</v>
      </c>
      <c r="Z217" s="47"/>
      <c r="AA217" s="47"/>
      <c r="AB217" s="47" t="s">
        <v>642</v>
      </c>
      <c r="AC217" s="47" t="s">
        <v>155</v>
      </c>
      <c r="AD217" s="47" t="s">
        <v>74</v>
      </c>
      <c r="AE217" s="49">
        <v>43905</v>
      </c>
      <c r="AF217" s="47" t="s">
        <v>123</v>
      </c>
      <c r="AG217" s="47"/>
      <c r="AH217" s="47" t="s">
        <v>140</v>
      </c>
      <c r="AI217" s="47" t="s">
        <v>143</v>
      </c>
      <c r="AJ217" s="47"/>
      <c r="AK217" s="47" t="s">
        <v>59</v>
      </c>
      <c r="AL217" s="47" t="s">
        <v>78</v>
      </c>
      <c r="AM217" s="47" t="s">
        <v>1880</v>
      </c>
      <c r="AN217" s="47" t="s">
        <v>83</v>
      </c>
      <c r="AO217" s="47" t="s">
        <v>1881</v>
      </c>
      <c r="AP217" s="47" t="s">
        <v>574</v>
      </c>
      <c r="AQ217" s="47" t="s">
        <v>81</v>
      </c>
      <c r="AR217" s="47"/>
      <c r="AS217" s="47" t="s">
        <v>446</v>
      </c>
      <c r="AT217" s="47" t="s">
        <v>143</v>
      </c>
      <c r="AU217" s="47" t="s">
        <v>83</v>
      </c>
      <c r="AV217" s="47"/>
      <c r="AW217" s="47"/>
      <c r="AX217" s="47"/>
      <c r="AY217" s="49">
        <v>37825</v>
      </c>
      <c r="AZ217" s="47" t="s">
        <v>80</v>
      </c>
      <c r="BA217" s="47"/>
      <c r="BB217" s="47" t="s">
        <v>2359</v>
      </c>
      <c r="BC217" s="47" t="s">
        <v>2542</v>
      </c>
      <c r="BD217" s="47">
        <v>523043135</v>
      </c>
      <c r="BE217" s="50">
        <v>1734</v>
      </c>
      <c r="BF217" s="53">
        <v>994128</v>
      </c>
    </row>
    <row r="218" spans="1:58" s="51" customFormat="1" ht="23.4" hidden="1" x14ac:dyDescent="0.25">
      <c r="A218" s="46">
        <v>217</v>
      </c>
      <c r="B218" s="47">
        <v>45105</v>
      </c>
      <c r="C218" s="47"/>
      <c r="D218" s="47" t="s">
        <v>1850</v>
      </c>
      <c r="E218" s="47" t="s">
        <v>1882</v>
      </c>
      <c r="F218" s="47" t="s">
        <v>979</v>
      </c>
      <c r="G218" s="47" t="str">
        <f>CONCATENATE(TRIM(الجدول2[[#This Row],[الاسم الأول]])," ",TRIM(الجدول2[[#This Row],[اسم الأب]])," ",TRIM(الجدول2[[#This Row],[الكنية]]))</f>
        <v>ميساء غازي زينب</v>
      </c>
      <c r="H218" s="47" t="s">
        <v>1883</v>
      </c>
      <c r="I218" s="48" t="s">
        <v>1884</v>
      </c>
      <c r="J218" s="47" t="s">
        <v>58</v>
      </c>
      <c r="K218" s="47" t="s">
        <v>59</v>
      </c>
      <c r="L218" s="47" t="s">
        <v>59</v>
      </c>
      <c r="M218" s="47" t="s">
        <v>60</v>
      </c>
      <c r="N218" s="47" t="s">
        <v>1004</v>
      </c>
      <c r="O218" s="49">
        <v>29150</v>
      </c>
      <c r="P218" s="47" t="s">
        <v>1885</v>
      </c>
      <c r="Q218" s="47" t="s">
        <v>179</v>
      </c>
      <c r="R218" s="48" t="s">
        <v>1886</v>
      </c>
      <c r="S218" s="47" t="s">
        <v>109</v>
      </c>
      <c r="T218" s="47"/>
      <c r="U218" s="47">
        <v>2</v>
      </c>
      <c r="V218" s="47" t="s">
        <v>66</v>
      </c>
      <c r="W218" s="47" t="s">
        <v>67</v>
      </c>
      <c r="X218" s="47" t="s">
        <v>68</v>
      </c>
      <c r="Y218" s="47" t="s">
        <v>121</v>
      </c>
      <c r="Z218" s="47"/>
      <c r="AA218" s="47"/>
      <c r="AB218" s="47" t="s">
        <v>1887</v>
      </c>
      <c r="AC218" s="47" t="s">
        <v>73</v>
      </c>
      <c r="AD218" s="47" t="s">
        <v>74</v>
      </c>
      <c r="AE218" s="49">
        <v>43487</v>
      </c>
      <c r="AF218" s="47" t="s">
        <v>75</v>
      </c>
      <c r="AG218" s="47"/>
      <c r="AH218" s="47" t="s">
        <v>2277</v>
      </c>
      <c r="AI218" s="47" t="s">
        <v>76</v>
      </c>
      <c r="AJ218" s="47" t="s">
        <v>277</v>
      </c>
      <c r="AK218" s="47" t="s">
        <v>59</v>
      </c>
      <c r="AL218" s="47" t="s">
        <v>164</v>
      </c>
      <c r="AM218" s="47" t="s">
        <v>99</v>
      </c>
      <c r="AN218" s="47" t="s">
        <v>80</v>
      </c>
      <c r="AO218" s="47"/>
      <c r="AP218" s="47"/>
      <c r="AQ218" s="47" t="s">
        <v>81</v>
      </c>
      <c r="AR218" s="47"/>
      <c r="AS218" s="47" t="s">
        <v>173</v>
      </c>
      <c r="AT218" s="47" t="s">
        <v>76</v>
      </c>
      <c r="AU218" s="47" t="s">
        <v>83</v>
      </c>
      <c r="AV218" s="47" t="s">
        <v>425</v>
      </c>
      <c r="AW218" s="47" t="s">
        <v>277</v>
      </c>
      <c r="AX218" s="47" t="s">
        <v>833</v>
      </c>
      <c r="AY218" s="49">
        <v>40087</v>
      </c>
      <c r="AZ218" s="47" t="s">
        <v>80</v>
      </c>
      <c r="BA218" s="47"/>
      <c r="BB218" s="47" t="s">
        <v>2359</v>
      </c>
      <c r="BC218" s="47" t="s">
        <v>2542</v>
      </c>
      <c r="BD218" s="47">
        <v>523288266</v>
      </c>
      <c r="BE218" s="50">
        <v>3638</v>
      </c>
      <c r="BF218" s="53">
        <v>1167639</v>
      </c>
    </row>
    <row r="219" spans="1:58" s="51" customFormat="1" ht="23.4" hidden="1" x14ac:dyDescent="0.25">
      <c r="A219" s="46">
        <v>218</v>
      </c>
      <c r="B219" s="47">
        <v>9497</v>
      </c>
      <c r="C219" s="47">
        <v>1008416</v>
      </c>
      <c r="D219" s="47" t="s">
        <v>1888</v>
      </c>
      <c r="E219" s="47" t="s">
        <v>1859</v>
      </c>
      <c r="F219" s="47" t="s">
        <v>1859</v>
      </c>
      <c r="G219" s="47" t="str">
        <f>CONCATENATE(TRIM(الجدول2[[#This Row],[الاسم الأول]])," ",TRIM(الجدول2[[#This Row],[اسم الأب]])," ",TRIM(الجدول2[[#This Row],[الكنية]]))</f>
        <v>ميسم حماد حماد</v>
      </c>
      <c r="H219" s="47" t="s">
        <v>1889</v>
      </c>
      <c r="I219" s="48" t="s">
        <v>1890</v>
      </c>
      <c r="J219" s="47" t="s">
        <v>58</v>
      </c>
      <c r="K219" s="47" t="s">
        <v>59</v>
      </c>
      <c r="L219" s="47" t="s">
        <v>59</v>
      </c>
      <c r="M219" s="47" t="s">
        <v>544</v>
      </c>
      <c r="N219" s="47" t="s">
        <v>545</v>
      </c>
      <c r="O219" s="49">
        <v>30712</v>
      </c>
      <c r="P219" s="47" t="s">
        <v>1891</v>
      </c>
      <c r="Q219" s="47" t="s">
        <v>179</v>
      </c>
      <c r="R219" s="48" t="s">
        <v>1892</v>
      </c>
      <c r="S219" s="47" t="s">
        <v>65</v>
      </c>
      <c r="T219" s="47"/>
      <c r="U219" s="47"/>
      <c r="V219" s="47" t="s">
        <v>66</v>
      </c>
      <c r="W219" s="47" t="s">
        <v>67</v>
      </c>
      <c r="X219" s="47" t="s">
        <v>68</v>
      </c>
      <c r="Y219" s="47" t="s">
        <v>169</v>
      </c>
      <c r="Z219" s="47" t="s">
        <v>170</v>
      </c>
      <c r="AA219" s="47" t="s">
        <v>171</v>
      </c>
      <c r="AB219" s="47" t="s">
        <v>212</v>
      </c>
      <c r="AC219" s="47" t="s">
        <v>155</v>
      </c>
      <c r="AD219" s="47" t="s">
        <v>74</v>
      </c>
      <c r="AE219" s="49">
        <v>43905</v>
      </c>
      <c r="AF219" s="47" t="s">
        <v>123</v>
      </c>
      <c r="AG219" s="47"/>
      <c r="AH219" s="47" t="s">
        <v>140</v>
      </c>
      <c r="AI219" s="47" t="s">
        <v>143</v>
      </c>
      <c r="AJ219" s="47"/>
      <c r="AK219" s="47" t="s">
        <v>59</v>
      </c>
      <c r="AL219" s="47" t="s">
        <v>59</v>
      </c>
      <c r="AM219" s="47" t="s">
        <v>99</v>
      </c>
      <c r="AN219" s="47" t="s">
        <v>80</v>
      </c>
      <c r="AO219" s="47"/>
      <c r="AP219" s="47"/>
      <c r="AQ219" s="47" t="s">
        <v>1893</v>
      </c>
      <c r="AR219" s="47" t="s">
        <v>1894</v>
      </c>
      <c r="AS219" s="47" t="s">
        <v>173</v>
      </c>
      <c r="AT219" s="47" t="s">
        <v>143</v>
      </c>
      <c r="AU219" s="47" t="s">
        <v>83</v>
      </c>
      <c r="AV219" s="47"/>
      <c r="AW219" s="47"/>
      <c r="AX219" s="47"/>
      <c r="AY219" s="49">
        <v>36024</v>
      </c>
      <c r="AZ219" s="47" t="s">
        <v>80</v>
      </c>
      <c r="BA219" s="47"/>
      <c r="BB219" s="47" t="s">
        <v>2359</v>
      </c>
      <c r="BC219" s="47" t="s">
        <v>2542</v>
      </c>
      <c r="BD219" s="47">
        <v>524074679</v>
      </c>
      <c r="BE219" s="50">
        <v>5881</v>
      </c>
      <c r="BF219" s="53">
        <v>994128</v>
      </c>
    </row>
    <row r="220" spans="1:58" s="51" customFormat="1" ht="23.4" hidden="1" x14ac:dyDescent="0.25">
      <c r="A220" s="46">
        <v>219</v>
      </c>
      <c r="B220" s="47">
        <v>9561</v>
      </c>
      <c r="C220" s="47"/>
      <c r="D220" s="47" t="s">
        <v>1895</v>
      </c>
      <c r="E220" s="47" t="s">
        <v>131</v>
      </c>
      <c r="F220" s="47" t="s">
        <v>1137</v>
      </c>
      <c r="G220" s="47" t="str">
        <f>CONCATENATE(TRIM(الجدول2[[#This Row],[الاسم الأول]])," ",TRIM(الجدول2[[#This Row],[اسم الأب]])," ",TRIM(الجدول2[[#This Row],[الكنية]]))</f>
        <v>ناديا علي ونوس</v>
      </c>
      <c r="H220" s="47" t="s">
        <v>1896</v>
      </c>
      <c r="I220" s="48" t="s">
        <v>1897</v>
      </c>
      <c r="J220" s="47" t="s">
        <v>58</v>
      </c>
      <c r="K220" s="47" t="s">
        <v>59</v>
      </c>
      <c r="L220" s="47" t="s">
        <v>141</v>
      </c>
      <c r="M220" s="47" t="s">
        <v>697</v>
      </c>
      <c r="N220" s="47" t="s">
        <v>1349</v>
      </c>
      <c r="O220" s="49">
        <v>26653</v>
      </c>
      <c r="P220" s="47" t="s">
        <v>1898</v>
      </c>
      <c r="Q220" s="47" t="s">
        <v>179</v>
      </c>
      <c r="R220" s="48" t="s">
        <v>1899</v>
      </c>
      <c r="S220" s="47" t="s">
        <v>65</v>
      </c>
      <c r="T220" s="47"/>
      <c r="U220" s="47"/>
      <c r="V220" s="47" t="s">
        <v>66</v>
      </c>
      <c r="W220" s="47" t="s">
        <v>67</v>
      </c>
      <c r="X220" s="47" t="s">
        <v>68</v>
      </c>
      <c r="Y220" s="47" t="s">
        <v>137</v>
      </c>
      <c r="Z220" s="47"/>
      <c r="AA220" s="47"/>
      <c r="AB220" s="47" t="s">
        <v>1900</v>
      </c>
      <c r="AC220" s="47" t="s">
        <v>155</v>
      </c>
      <c r="AD220" s="47" t="s">
        <v>74</v>
      </c>
      <c r="AE220" s="49">
        <v>43904</v>
      </c>
      <c r="AF220" s="47" t="s">
        <v>123</v>
      </c>
      <c r="AG220" s="47"/>
      <c r="AH220" s="47" t="s">
        <v>140</v>
      </c>
      <c r="AI220" s="47" t="s">
        <v>143</v>
      </c>
      <c r="AJ220" s="47"/>
      <c r="AK220" s="47" t="s">
        <v>59</v>
      </c>
      <c r="AL220" s="47" t="s">
        <v>141</v>
      </c>
      <c r="AM220" s="47" t="s">
        <v>99</v>
      </c>
      <c r="AN220" s="47" t="s">
        <v>80</v>
      </c>
      <c r="AO220" s="47"/>
      <c r="AP220" s="47"/>
      <c r="AQ220" s="47" t="s">
        <v>81</v>
      </c>
      <c r="AR220" s="47"/>
      <c r="AS220" s="47" t="s">
        <v>173</v>
      </c>
      <c r="AT220" s="47" t="s">
        <v>143</v>
      </c>
      <c r="AU220" s="47" t="s">
        <v>83</v>
      </c>
      <c r="AV220" s="47"/>
      <c r="AW220" s="47"/>
      <c r="AX220" s="47"/>
      <c r="AY220" s="49">
        <v>31972</v>
      </c>
      <c r="AZ220" s="47" t="s">
        <v>80</v>
      </c>
      <c r="BA220" s="47" t="s">
        <v>1901</v>
      </c>
      <c r="BB220" s="47" t="s">
        <v>2358</v>
      </c>
      <c r="BC220" s="47" t="s">
        <v>2542</v>
      </c>
      <c r="BD220" s="47">
        <v>528097138</v>
      </c>
      <c r="BE220" s="50">
        <v>22325</v>
      </c>
      <c r="BF220" s="53">
        <v>994128</v>
      </c>
    </row>
    <row r="221" spans="1:58" s="51" customFormat="1" ht="23.4" hidden="1" x14ac:dyDescent="0.25">
      <c r="A221" s="46">
        <v>220</v>
      </c>
      <c r="B221" s="47">
        <v>9571</v>
      </c>
      <c r="C221" s="47">
        <v>1634549</v>
      </c>
      <c r="D221" s="47" t="s">
        <v>1902</v>
      </c>
      <c r="E221" s="47" t="s">
        <v>1903</v>
      </c>
      <c r="F221" s="47" t="s">
        <v>55</v>
      </c>
      <c r="G221" s="47" t="str">
        <f>CONCATENATE(TRIM(الجدول2[[#This Row],[الاسم الأول]])," ",TRIM(الجدول2[[#This Row],[اسم الأب]])," ",TRIM(الجدول2[[#This Row],[الكنية]]))</f>
        <v>نازك جواد حسن</v>
      </c>
      <c r="H221" s="47" t="s">
        <v>1904</v>
      </c>
      <c r="I221" s="48" t="s">
        <v>1905</v>
      </c>
      <c r="J221" s="47" t="s">
        <v>58</v>
      </c>
      <c r="K221" s="47" t="s">
        <v>59</v>
      </c>
      <c r="L221" s="47" t="s">
        <v>164</v>
      </c>
      <c r="M221" s="47" t="s">
        <v>165</v>
      </c>
      <c r="N221" s="47" t="s">
        <v>1906</v>
      </c>
      <c r="O221" s="49">
        <v>35436</v>
      </c>
      <c r="P221" s="47" t="s">
        <v>1907</v>
      </c>
      <c r="Q221" s="47" t="s">
        <v>179</v>
      </c>
      <c r="R221" s="48" t="s">
        <v>1908</v>
      </c>
      <c r="S221" s="47" t="s">
        <v>65</v>
      </c>
      <c r="T221" s="47"/>
      <c r="U221" s="47"/>
      <c r="V221" s="47" t="s">
        <v>66</v>
      </c>
      <c r="W221" s="47" t="s">
        <v>67</v>
      </c>
      <c r="X221" s="47" t="s">
        <v>68</v>
      </c>
      <c r="Y221" s="47" t="s">
        <v>69</v>
      </c>
      <c r="Z221" s="47" t="s">
        <v>1909</v>
      </c>
      <c r="AA221" s="47" t="s">
        <v>991</v>
      </c>
      <c r="AB221" s="47" t="s">
        <v>72</v>
      </c>
      <c r="AC221" s="47" t="s">
        <v>73</v>
      </c>
      <c r="AD221" s="47" t="s">
        <v>74</v>
      </c>
      <c r="AE221" s="49">
        <v>45522</v>
      </c>
      <c r="AF221" s="47" t="s">
        <v>75</v>
      </c>
      <c r="AG221" s="47"/>
      <c r="AH221" s="47" t="s">
        <v>2277</v>
      </c>
      <c r="AI221" s="47" t="s">
        <v>76</v>
      </c>
      <c r="AJ221" s="47" t="s">
        <v>198</v>
      </c>
      <c r="AK221" s="47" t="s">
        <v>59</v>
      </c>
      <c r="AL221" s="47" t="s">
        <v>59</v>
      </c>
      <c r="AM221" s="47" t="s">
        <v>99</v>
      </c>
      <c r="AN221" s="47" t="s">
        <v>80</v>
      </c>
      <c r="AO221" s="47"/>
      <c r="AP221" s="47"/>
      <c r="AQ221" s="47" t="s">
        <v>81</v>
      </c>
      <c r="AR221" s="47"/>
      <c r="AS221" s="47" t="s">
        <v>82</v>
      </c>
      <c r="AT221" s="47" t="s">
        <v>76</v>
      </c>
      <c r="AU221" s="47" t="s">
        <v>83</v>
      </c>
      <c r="AV221" s="47" t="s">
        <v>59</v>
      </c>
      <c r="AW221" s="47" t="s">
        <v>858</v>
      </c>
      <c r="AX221" s="47" t="s">
        <v>100</v>
      </c>
      <c r="AY221" s="49">
        <v>43932</v>
      </c>
      <c r="AZ221" s="47" t="s">
        <v>80</v>
      </c>
      <c r="BA221" s="47"/>
      <c r="BB221" s="47" t="s">
        <v>2359</v>
      </c>
      <c r="BC221" s="47" t="s">
        <v>2542</v>
      </c>
      <c r="BD221" s="47">
        <v>524110908</v>
      </c>
      <c r="BE221" s="50">
        <v>6179</v>
      </c>
      <c r="BF221" s="53">
        <v>943000</v>
      </c>
    </row>
    <row r="222" spans="1:58" s="51" customFormat="1" ht="23.4" hidden="1" x14ac:dyDescent="0.25">
      <c r="A222" s="46">
        <v>221</v>
      </c>
      <c r="B222" s="47">
        <v>9654</v>
      </c>
      <c r="C222" s="47"/>
      <c r="D222" s="47" t="s">
        <v>1910</v>
      </c>
      <c r="E222" s="47" t="s">
        <v>131</v>
      </c>
      <c r="F222" s="47" t="s">
        <v>1911</v>
      </c>
      <c r="G222" s="47" t="str">
        <f>CONCATENATE(TRIM(الجدول2[[#This Row],[الاسم الأول]])," ",TRIM(الجدول2[[#This Row],[اسم الأب]])," ",TRIM(الجدول2[[#This Row],[الكنية]]))</f>
        <v>نتالين علي قاسم</v>
      </c>
      <c r="H222" s="47" t="s">
        <v>1912</v>
      </c>
      <c r="I222" s="48" t="s">
        <v>1913</v>
      </c>
      <c r="J222" s="47" t="s">
        <v>58</v>
      </c>
      <c r="K222" s="47" t="s">
        <v>59</v>
      </c>
      <c r="L222" s="47" t="s">
        <v>59</v>
      </c>
      <c r="M222" s="47" t="s">
        <v>60</v>
      </c>
      <c r="N222" s="47" t="s">
        <v>1914</v>
      </c>
      <c r="O222" s="49">
        <v>28559</v>
      </c>
      <c r="P222" s="47" t="s">
        <v>1915</v>
      </c>
      <c r="Q222" s="47" t="s">
        <v>179</v>
      </c>
      <c r="R222" s="48" t="s">
        <v>1916</v>
      </c>
      <c r="S222" s="47" t="s">
        <v>109</v>
      </c>
      <c r="T222" s="47"/>
      <c r="U222" s="47">
        <v>3</v>
      </c>
      <c r="V222" s="47" t="s">
        <v>66</v>
      </c>
      <c r="W222" s="47" t="s">
        <v>67</v>
      </c>
      <c r="X222" s="47" t="s">
        <v>68</v>
      </c>
      <c r="Y222" s="47" t="s">
        <v>169</v>
      </c>
      <c r="Z222" s="47" t="s">
        <v>170</v>
      </c>
      <c r="AA222" s="47" t="s">
        <v>171</v>
      </c>
      <c r="AB222" s="47" t="s">
        <v>223</v>
      </c>
      <c r="AC222" s="47" t="s">
        <v>155</v>
      </c>
      <c r="AD222" s="47" t="s">
        <v>74</v>
      </c>
      <c r="AE222" s="49">
        <v>43905</v>
      </c>
      <c r="AF222" s="47" t="s">
        <v>156</v>
      </c>
      <c r="AG222" s="47"/>
      <c r="AH222" s="47" t="s">
        <v>157</v>
      </c>
      <c r="AI222" s="47" t="s">
        <v>143</v>
      </c>
      <c r="AJ222" s="47"/>
      <c r="AK222" s="47" t="s">
        <v>59</v>
      </c>
      <c r="AL222" s="47" t="s">
        <v>59</v>
      </c>
      <c r="AM222" s="47" t="s">
        <v>99</v>
      </c>
      <c r="AN222" s="47" t="s">
        <v>80</v>
      </c>
      <c r="AO222" s="47"/>
      <c r="AP222" s="47"/>
      <c r="AQ222" s="47" t="s">
        <v>81</v>
      </c>
      <c r="AR222" s="47"/>
      <c r="AS222" s="47" t="s">
        <v>173</v>
      </c>
      <c r="AT222" s="47" t="s">
        <v>143</v>
      </c>
      <c r="AU222" s="47" t="s">
        <v>83</v>
      </c>
      <c r="AV222" s="47"/>
      <c r="AW222" s="47"/>
      <c r="AX222" s="47"/>
      <c r="AY222" s="49">
        <v>34162</v>
      </c>
      <c r="AZ222" s="47" t="s">
        <v>80</v>
      </c>
      <c r="BA222" s="47"/>
      <c r="BB222" s="47" t="s">
        <v>2359</v>
      </c>
      <c r="BC222" s="47" t="s">
        <v>2542</v>
      </c>
      <c r="BD222" s="47">
        <v>526473869</v>
      </c>
      <c r="BE222" s="50">
        <v>12362</v>
      </c>
      <c r="BF222" s="53">
        <v>1001181</v>
      </c>
    </row>
    <row r="223" spans="1:58" s="51" customFormat="1" ht="23.4" hidden="1" x14ac:dyDescent="0.25">
      <c r="A223" s="46">
        <v>222</v>
      </c>
      <c r="B223" s="47">
        <v>9687</v>
      </c>
      <c r="C223" s="47"/>
      <c r="D223" s="47" t="s">
        <v>1917</v>
      </c>
      <c r="E223" s="47" t="s">
        <v>115</v>
      </c>
      <c r="F223" s="47" t="s">
        <v>145</v>
      </c>
      <c r="G223" s="47" t="str">
        <f>CONCATENATE(TRIM(الجدول2[[#This Row],[الاسم الأول]])," ",TRIM(الجدول2[[#This Row],[اسم الأب]])," ",TRIM(الجدول2[[#This Row],[الكنية]]))</f>
        <v>نداء محمد يونس</v>
      </c>
      <c r="H223" s="47" t="s">
        <v>1918</v>
      </c>
      <c r="I223" s="48" t="s">
        <v>1919</v>
      </c>
      <c r="J223" s="47" t="s">
        <v>58</v>
      </c>
      <c r="K223" s="47" t="s">
        <v>59</v>
      </c>
      <c r="L223" s="47" t="s">
        <v>90</v>
      </c>
      <c r="M223" s="47" t="s">
        <v>298</v>
      </c>
      <c r="N223" s="47" t="s">
        <v>1920</v>
      </c>
      <c r="O223" s="49">
        <v>29691</v>
      </c>
      <c r="P223" s="47" t="s">
        <v>1921</v>
      </c>
      <c r="Q223" s="47" t="s">
        <v>179</v>
      </c>
      <c r="R223" s="48" t="s">
        <v>1922</v>
      </c>
      <c r="S223" s="47" t="s">
        <v>109</v>
      </c>
      <c r="T223" s="47"/>
      <c r="U223" s="47">
        <v>3</v>
      </c>
      <c r="V223" s="47" t="s">
        <v>66</v>
      </c>
      <c r="W223" s="47" t="s">
        <v>67</v>
      </c>
      <c r="X223" s="47" t="s">
        <v>68</v>
      </c>
      <c r="Y223" s="47" t="s">
        <v>137</v>
      </c>
      <c r="Z223" s="47"/>
      <c r="AA223" s="47"/>
      <c r="AB223" s="47" t="s">
        <v>289</v>
      </c>
      <c r="AC223" s="47" t="s">
        <v>155</v>
      </c>
      <c r="AD223" s="47" t="s">
        <v>74</v>
      </c>
      <c r="AE223" s="49">
        <v>44063</v>
      </c>
      <c r="AF223" s="47" t="s">
        <v>139</v>
      </c>
      <c r="AG223" s="47"/>
      <c r="AH223" s="47" t="s">
        <v>140</v>
      </c>
      <c r="AI223" s="47" t="s">
        <v>143</v>
      </c>
      <c r="AJ223" s="47"/>
      <c r="AK223" s="47" t="s">
        <v>59</v>
      </c>
      <c r="AL223" s="47" t="s">
        <v>90</v>
      </c>
      <c r="AM223" s="47" t="s">
        <v>99</v>
      </c>
      <c r="AN223" s="47" t="s">
        <v>80</v>
      </c>
      <c r="AO223" s="47"/>
      <c r="AP223" s="47"/>
      <c r="AQ223" s="47" t="s">
        <v>81</v>
      </c>
      <c r="AR223" s="47"/>
      <c r="AS223" s="47" t="s">
        <v>142</v>
      </c>
      <c r="AT223" s="47" t="s">
        <v>143</v>
      </c>
      <c r="AU223" s="47" t="s">
        <v>83</v>
      </c>
      <c r="AV223" s="47"/>
      <c r="AW223" s="47"/>
      <c r="AX223" s="47"/>
      <c r="AY223" s="49">
        <v>36006</v>
      </c>
      <c r="AZ223" s="47" t="s">
        <v>80</v>
      </c>
      <c r="BA223" s="47" t="s">
        <v>1923</v>
      </c>
      <c r="BB223" s="47" t="s">
        <v>2358</v>
      </c>
      <c r="BC223" s="47" t="s">
        <v>2542</v>
      </c>
      <c r="BD223" s="47">
        <v>528143210</v>
      </c>
      <c r="BE223" s="50">
        <v>22955</v>
      </c>
      <c r="BF223" s="53">
        <v>994128</v>
      </c>
    </row>
    <row r="224" spans="1:58" s="51" customFormat="1" ht="23.4" x14ac:dyDescent="0.25">
      <c r="A224" s="46">
        <v>223</v>
      </c>
      <c r="B224" s="47">
        <v>9694</v>
      </c>
      <c r="C224" s="47"/>
      <c r="D224" s="47" t="s">
        <v>1924</v>
      </c>
      <c r="E224" s="47" t="s">
        <v>131</v>
      </c>
      <c r="F224" s="47" t="s">
        <v>1925</v>
      </c>
      <c r="G224" s="47" t="str">
        <f>CONCATENATE(TRIM(الجدول2[[#This Row],[الاسم الأول]])," ",TRIM(الجدول2[[#This Row],[اسم الأب]])," ",TRIM(الجدول2[[#This Row],[الكنية]]))</f>
        <v>ندى علي تقلا</v>
      </c>
      <c r="H224" s="47" t="s">
        <v>1926</v>
      </c>
      <c r="I224" s="48" t="s">
        <v>1927</v>
      </c>
      <c r="J224" s="47" t="s">
        <v>58</v>
      </c>
      <c r="K224" s="47" t="s">
        <v>59</v>
      </c>
      <c r="L224" s="47" t="s">
        <v>59</v>
      </c>
      <c r="M224" s="47" t="s">
        <v>60</v>
      </c>
      <c r="N224" s="47" t="s">
        <v>61</v>
      </c>
      <c r="O224" s="49">
        <v>33517</v>
      </c>
      <c r="P224" s="47" t="s">
        <v>1928</v>
      </c>
      <c r="Q224" s="47" t="s">
        <v>179</v>
      </c>
      <c r="R224" s="48" t="s">
        <v>1929</v>
      </c>
      <c r="S224" s="47" t="s">
        <v>109</v>
      </c>
      <c r="T224" s="47"/>
      <c r="U224" s="47">
        <v>0</v>
      </c>
      <c r="V224" s="47" t="s">
        <v>66</v>
      </c>
      <c r="W224" s="47" t="s">
        <v>67</v>
      </c>
      <c r="X224" s="47" t="s">
        <v>68</v>
      </c>
      <c r="Y224" s="47"/>
      <c r="Z224" s="47"/>
      <c r="AA224" s="47"/>
      <c r="AB224" s="47" t="s">
        <v>668</v>
      </c>
      <c r="AC224" s="47" t="s">
        <v>73</v>
      </c>
      <c r="AD224" s="47" t="s">
        <v>1573</v>
      </c>
      <c r="AE224" s="49">
        <v>41071</v>
      </c>
      <c r="AF224" s="47" t="s">
        <v>123</v>
      </c>
      <c r="AG224" s="47"/>
      <c r="AH224" s="47" t="s">
        <v>124</v>
      </c>
      <c r="AI224" s="47" t="s">
        <v>125</v>
      </c>
      <c r="AJ224" s="47"/>
      <c r="AK224" s="47" t="s">
        <v>59</v>
      </c>
      <c r="AL224" s="47" t="s">
        <v>59</v>
      </c>
      <c r="AM224" s="47" t="s">
        <v>79</v>
      </c>
      <c r="AN224" s="47" t="s">
        <v>80</v>
      </c>
      <c r="AO224" s="47"/>
      <c r="AP224" s="47"/>
      <c r="AQ224" s="47" t="s">
        <v>81</v>
      </c>
      <c r="AR224" s="47"/>
      <c r="AS224" s="47" t="s">
        <v>82</v>
      </c>
      <c r="AT224" s="47" t="s">
        <v>128</v>
      </c>
      <c r="AU224" s="47" t="s">
        <v>83</v>
      </c>
      <c r="AV224" s="47"/>
      <c r="AW224" s="47"/>
      <c r="AX224" s="47" t="s">
        <v>1734</v>
      </c>
      <c r="AY224" s="49">
        <v>40007</v>
      </c>
      <c r="AZ224" s="47" t="s">
        <v>80</v>
      </c>
      <c r="BA224" s="47" t="s">
        <v>1930</v>
      </c>
      <c r="BB224" s="47"/>
      <c r="BC224" s="47" t="s">
        <v>2542</v>
      </c>
      <c r="BD224" s="47">
        <v>528101816</v>
      </c>
      <c r="BE224" s="50">
        <v>22384</v>
      </c>
      <c r="BF224" s="53">
        <v>1243000</v>
      </c>
    </row>
    <row r="225" spans="1:58" s="51" customFormat="1" ht="23.4" hidden="1" x14ac:dyDescent="0.25">
      <c r="A225" s="46">
        <v>224</v>
      </c>
      <c r="B225" s="47">
        <v>9717</v>
      </c>
      <c r="C225" s="47">
        <v>1408680</v>
      </c>
      <c r="D225" s="47" t="s">
        <v>1931</v>
      </c>
      <c r="E225" s="47" t="s">
        <v>1183</v>
      </c>
      <c r="F225" s="47" t="s">
        <v>1721</v>
      </c>
      <c r="G225" s="47" t="str">
        <f>CONCATENATE(TRIM(الجدول2[[#This Row],[الاسم الأول]])," ",TRIM(الجدول2[[#This Row],[اسم الأب]])," ",TRIM(الجدول2[[#This Row],[الكنية]]))</f>
        <v>نزار عزت شعبان</v>
      </c>
      <c r="H225" s="47" t="s">
        <v>1728</v>
      </c>
      <c r="I225" s="48" t="s">
        <v>1932</v>
      </c>
      <c r="J225" s="47" t="s">
        <v>58</v>
      </c>
      <c r="K225" s="47" t="s">
        <v>59</v>
      </c>
      <c r="L225" s="47" t="s">
        <v>78</v>
      </c>
      <c r="M225" s="47" t="s">
        <v>570</v>
      </c>
      <c r="N225" s="47" t="s">
        <v>78</v>
      </c>
      <c r="O225" s="49">
        <v>31303</v>
      </c>
      <c r="P225" s="47" t="s">
        <v>1933</v>
      </c>
      <c r="Q225" s="47" t="s">
        <v>63</v>
      </c>
      <c r="R225" s="48" t="s">
        <v>1934</v>
      </c>
      <c r="S225" s="47" t="s">
        <v>65</v>
      </c>
      <c r="T225" s="47"/>
      <c r="U225" s="47"/>
      <c r="V225" s="47" t="s">
        <v>66</v>
      </c>
      <c r="W225" s="47" t="s">
        <v>67</v>
      </c>
      <c r="X225" s="47" t="s">
        <v>68</v>
      </c>
      <c r="Y225" s="47" t="s">
        <v>169</v>
      </c>
      <c r="Z225" s="47" t="s">
        <v>1935</v>
      </c>
      <c r="AA225" s="47"/>
      <c r="AB225" s="47" t="s">
        <v>491</v>
      </c>
      <c r="AC225" s="47" t="s">
        <v>73</v>
      </c>
      <c r="AD225" s="47" t="s">
        <v>74</v>
      </c>
      <c r="AE225" s="49">
        <v>40735</v>
      </c>
      <c r="AF225" s="47" t="s">
        <v>290</v>
      </c>
      <c r="AG225" s="47"/>
      <c r="AH225" s="47" t="s">
        <v>2277</v>
      </c>
      <c r="AI225" s="47" t="s">
        <v>76</v>
      </c>
      <c r="AJ225" s="47" t="s">
        <v>1936</v>
      </c>
      <c r="AK225" s="47" t="s">
        <v>59</v>
      </c>
      <c r="AL225" s="47" t="s">
        <v>78</v>
      </c>
      <c r="AM225" s="47" t="s">
        <v>158</v>
      </c>
      <c r="AN225" s="47" t="s">
        <v>80</v>
      </c>
      <c r="AO225" s="47"/>
      <c r="AP225" s="47"/>
      <c r="AQ225" s="47" t="s">
        <v>81</v>
      </c>
      <c r="AR225" s="47"/>
      <c r="AS225" s="47" t="s">
        <v>82</v>
      </c>
      <c r="AT225" s="47" t="s">
        <v>291</v>
      </c>
      <c r="AU225" s="47" t="s">
        <v>83</v>
      </c>
      <c r="AV225" s="47" t="s">
        <v>268</v>
      </c>
      <c r="AW225" s="47" t="s">
        <v>1937</v>
      </c>
      <c r="AX225" s="47" t="s">
        <v>1936</v>
      </c>
      <c r="AY225" s="49">
        <v>40382</v>
      </c>
      <c r="AZ225" s="47" t="s">
        <v>83</v>
      </c>
      <c r="BA225" s="47"/>
      <c r="BB225" s="47" t="s">
        <v>2359</v>
      </c>
      <c r="BC225" s="47" t="s">
        <v>2542</v>
      </c>
      <c r="BD225" s="47">
        <v>523151071</v>
      </c>
      <c r="BE225" s="50">
        <v>2718</v>
      </c>
      <c r="BF225" s="53">
        <v>1409000</v>
      </c>
    </row>
    <row r="226" spans="1:58" s="51" customFormat="1" ht="23.4" hidden="1" x14ac:dyDescent="0.25">
      <c r="A226" s="46">
        <v>225</v>
      </c>
      <c r="B226" s="47">
        <v>9766</v>
      </c>
      <c r="C226" s="47">
        <v>1634846</v>
      </c>
      <c r="D226" s="47" t="s">
        <v>1938</v>
      </c>
      <c r="E226" s="47" t="s">
        <v>1939</v>
      </c>
      <c r="F226" s="47" t="s">
        <v>228</v>
      </c>
      <c r="G226" s="47" t="str">
        <f>CONCATENATE(TRIM(الجدول2[[#This Row],[الاسم الأول]])," ",TRIM(الجدول2[[#This Row],[اسم الأب]])," ",TRIM(الجدول2[[#This Row],[الكنية]]))</f>
        <v>نسرين مدحت محمود</v>
      </c>
      <c r="H226" s="47" t="s">
        <v>1940</v>
      </c>
      <c r="I226" s="48" t="s">
        <v>1941</v>
      </c>
      <c r="J226" s="47" t="s">
        <v>58</v>
      </c>
      <c r="K226" s="47" t="s">
        <v>59</v>
      </c>
      <c r="L226" s="47" t="s">
        <v>105</v>
      </c>
      <c r="M226" s="47" t="s">
        <v>106</v>
      </c>
      <c r="N226" s="47" t="s">
        <v>1169</v>
      </c>
      <c r="O226" s="49">
        <v>32183</v>
      </c>
      <c r="P226" s="47" t="s">
        <v>1942</v>
      </c>
      <c r="Q226" s="47" t="s">
        <v>179</v>
      </c>
      <c r="R226" s="48" t="s">
        <v>1943</v>
      </c>
      <c r="S226" s="47" t="s">
        <v>109</v>
      </c>
      <c r="T226" s="47"/>
      <c r="U226" s="47">
        <v>2</v>
      </c>
      <c r="V226" s="47" t="s">
        <v>66</v>
      </c>
      <c r="W226" s="47" t="s">
        <v>67</v>
      </c>
      <c r="X226" s="47" t="s">
        <v>68</v>
      </c>
      <c r="Y226" s="47" t="s">
        <v>137</v>
      </c>
      <c r="Z226" s="47"/>
      <c r="AA226" s="47"/>
      <c r="AB226" s="47" t="s">
        <v>727</v>
      </c>
      <c r="AC226" s="47" t="s">
        <v>73</v>
      </c>
      <c r="AD226" s="47" t="s">
        <v>74</v>
      </c>
      <c r="AE226" s="49">
        <v>41286</v>
      </c>
      <c r="AF226" s="47" t="s">
        <v>123</v>
      </c>
      <c r="AG226" s="47"/>
      <c r="AH226" s="47" t="s">
        <v>124</v>
      </c>
      <c r="AI226" s="47" t="s">
        <v>182</v>
      </c>
      <c r="AJ226" s="47" t="s">
        <v>1944</v>
      </c>
      <c r="AK226" s="47" t="s">
        <v>59</v>
      </c>
      <c r="AL226" s="47" t="s">
        <v>105</v>
      </c>
      <c r="AM226" s="47" t="s">
        <v>99</v>
      </c>
      <c r="AN226" s="47" t="s">
        <v>83</v>
      </c>
      <c r="AO226" s="47" t="s">
        <v>1945</v>
      </c>
      <c r="AP226" s="47" t="s">
        <v>1946</v>
      </c>
      <c r="AQ226" s="47" t="s">
        <v>81</v>
      </c>
      <c r="AR226" s="47"/>
      <c r="AS226" s="47" t="s">
        <v>82</v>
      </c>
      <c r="AT226" s="47" t="s">
        <v>182</v>
      </c>
      <c r="AU226" s="47" t="s">
        <v>83</v>
      </c>
      <c r="AV226" s="47" t="s">
        <v>1947</v>
      </c>
      <c r="AW226" s="47" t="s">
        <v>182</v>
      </c>
      <c r="AX226" s="47" t="s">
        <v>1948</v>
      </c>
      <c r="AY226" s="49">
        <v>40778</v>
      </c>
      <c r="AZ226" s="47" t="s">
        <v>80</v>
      </c>
      <c r="BA226" s="47" t="s">
        <v>1949</v>
      </c>
      <c r="BB226" s="47" t="s">
        <v>2358</v>
      </c>
      <c r="BC226" s="47" t="s">
        <v>2542</v>
      </c>
      <c r="BD226" s="47">
        <v>528060781</v>
      </c>
      <c r="BE226" s="47">
        <v>21853</v>
      </c>
      <c r="BF226" s="53">
        <v>1243000</v>
      </c>
    </row>
    <row r="227" spans="1:58" s="51" customFormat="1" ht="23.4" hidden="1" x14ac:dyDescent="0.25">
      <c r="A227" s="46">
        <v>226</v>
      </c>
      <c r="B227" s="47">
        <v>9813</v>
      </c>
      <c r="C227" s="47"/>
      <c r="D227" s="47" t="s">
        <v>1950</v>
      </c>
      <c r="E227" s="47" t="s">
        <v>1430</v>
      </c>
      <c r="F227" s="47" t="s">
        <v>131</v>
      </c>
      <c r="G227" s="47" t="str">
        <f>CONCATENATE(TRIM(الجدول2[[#This Row],[الاسم الأول]])," ",TRIM(الجدول2[[#This Row],[اسم الأب]])," ",TRIM(الجدول2[[#This Row],[الكنية]]))</f>
        <v>نضال عادل علي</v>
      </c>
      <c r="H227" s="47" t="s">
        <v>1951</v>
      </c>
      <c r="I227" s="48" t="s">
        <v>1952</v>
      </c>
      <c r="J227" s="47" t="s">
        <v>58</v>
      </c>
      <c r="K227" s="47" t="s">
        <v>59</v>
      </c>
      <c r="L227" s="47" t="s">
        <v>164</v>
      </c>
      <c r="M227" s="47" t="s">
        <v>165</v>
      </c>
      <c r="N227" s="47" t="s">
        <v>1953</v>
      </c>
      <c r="O227" s="49">
        <v>28491</v>
      </c>
      <c r="P227" s="47" t="s">
        <v>1954</v>
      </c>
      <c r="Q227" s="47" t="s">
        <v>63</v>
      </c>
      <c r="R227" s="48" t="s">
        <v>1955</v>
      </c>
      <c r="S227" s="47" t="s">
        <v>109</v>
      </c>
      <c r="T227" s="47">
        <v>1</v>
      </c>
      <c r="U227" s="47">
        <v>2</v>
      </c>
      <c r="V227" s="47" t="s">
        <v>66</v>
      </c>
      <c r="W227" s="47" t="s">
        <v>67</v>
      </c>
      <c r="X227" s="47" t="s">
        <v>68</v>
      </c>
      <c r="Y227" s="47" t="s">
        <v>1015</v>
      </c>
      <c r="Z227" s="47"/>
      <c r="AA227" s="47"/>
      <c r="AB227" s="47" t="s">
        <v>1016</v>
      </c>
      <c r="AC227" s="47" t="s">
        <v>73</v>
      </c>
      <c r="AD227" s="47" t="s">
        <v>74</v>
      </c>
      <c r="AE227" s="49">
        <v>41294</v>
      </c>
      <c r="AF227" s="47" t="s">
        <v>123</v>
      </c>
      <c r="AG227" s="47"/>
      <c r="AH227" s="47" t="s">
        <v>1007</v>
      </c>
      <c r="AI227" s="47" t="s">
        <v>143</v>
      </c>
      <c r="AJ227" s="47"/>
      <c r="AK227" s="47" t="s">
        <v>59</v>
      </c>
      <c r="AL227" s="47" t="s">
        <v>164</v>
      </c>
      <c r="AM227" s="47" t="s">
        <v>99</v>
      </c>
      <c r="AN227" s="47" t="s">
        <v>80</v>
      </c>
      <c r="AO227" s="47"/>
      <c r="AP227" s="47"/>
      <c r="AQ227" s="47" t="s">
        <v>81</v>
      </c>
      <c r="AR227" s="47"/>
      <c r="AS227" s="47" t="s">
        <v>173</v>
      </c>
      <c r="AT227" s="47" t="s">
        <v>143</v>
      </c>
      <c r="AU227" s="47" t="s">
        <v>83</v>
      </c>
      <c r="AV227" s="47"/>
      <c r="AW227" s="47"/>
      <c r="AX227" s="47"/>
      <c r="AY227" s="49">
        <v>33604</v>
      </c>
      <c r="AZ227" s="47" t="s">
        <v>80</v>
      </c>
      <c r="BA227" s="47"/>
      <c r="BB227" s="47" t="s">
        <v>2359</v>
      </c>
      <c r="BC227" s="47" t="s">
        <v>2542</v>
      </c>
      <c r="BD227" s="47">
        <v>526101587</v>
      </c>
      <c r="BE227" s="47">
        <v>11081</v>
      </c>
      <c r="BF227" s="53">
        <v>1185000</v>
      </c>
    </row>
    <row r="228" spans="1:58" s="51" customFormat="1" ht="23.4" hidden="1" x14ac:dyDescent="0.25">
      <c r="A228" s="46">
        <v>227</v>
      </c>
      <c r="B228" s="47">
        <v>9838</v>
      </c>
      <c r="C228" s="47"/>
      <c r="D228" s="47" t="s">
        <v>1956</v>
      </c>
      <c r="E228" s="47" t="s">
        <v>1957</v>
      </c>
      <c r="F228" s="47" t="s">
        <v>1088</v>
      </c>
      <c r="G228" s="47" t="str">
        <f>CONCATENATE(TRIM(الجدول2[[#This Row],[الاسم الأول]])," ",TRIM(الجدول2[[#This Row],[اسم الأب]])," ",TRIM(الجدول2[[#This Row],[الكنية]]))</f>
        <v>نعمة عماد الدين غانم</v>
      </c>
      <c r="H228" s="47" t="s">
        <v>1958</v>
      </c>
      <c r="I228" s="48" t="s">
        <v>1959</v>
      </c>
      <c r="J228" s="47" t="s">
        <v>58</v>
      </c>
      <c r="K228" s="47" t="s">
        <v>59</v>
      </c>
      <c r="L228" s="47" t="s">
        <v>59</v>
      </c>
      <c r="M228" s="47" t="s">
        <v>60</v>
      </c>
      <c r="N228" s="47" t="s">
        <v>1960</v>
      </c>
      <c r="O228" s="49">
        <v>35071</v>
      </c>
      <c r="P228" s="47" t="s">
        <v>1961</v>
      </c>
      <c r="Q228" s="47" t="s">
        <v>179</v>
      </c>
      <c r="R228" s="48" t="s">
        <v>1962</v>
      </c>
      <c r="S228" s="47" t="s">
        <v>65</v>
      </c>
      <c r="T228" s="47"/>
      <c r="U228" s="47"/>
      <c r="V228" s="47" t="s">
        <v>66</v>
      </c>
      <c r="W228" s="47" t="s">
        <v>67</v>
      </c>
      <c r="X228" s="47" t="s">
        <v>68</v>
      </c>
      <c r="Y228" s="47" t="s">
        <v>501</v>
      </c>
      <c r="Z228" s="47" t="s">
        <v>1364</v>
      </c>
      <c r="AA228" s="47" t="s">
        <v>1963</v>
      </c>
      <c r="AB228" s="47" t="s">
        <v>223</v>
      </c>
      <c r="AC228" s="47" t="s">
        <v>155</v>
      </c>
      <c r="AD228" s="47" t="s">
        <v>74</v>
      </c>
      <c r="AE228" s="49">
        <v>43905</v>
      </c>
      <c r="AF228" s="47" t="s">
        <v>123</v>
      </c>
      <c r="AG228" s="47"/>
      <c r="AH228" s="47" t="s">
        <v>157</v>
      </c>
      <c r="AI228" s="47" t="s">
        <v>143</v>
      </c>
      <c r="AJ228" s="47"/>
      <c r="AK228" s="47" t="s">
        <v>59</v>
      </c>
      <c r="AL228" s="47" t="s">
        <v>59</v>
      </c>
      <c r="AM228" s="47" t="s">
        <v>99</v>
      </c>
      <c r="AN228" s="47" t="s">
        <v>80</v>
      </c>
      <c r="AO228" s="47"/>
      <c r="AP228" s="47"/>
      <c r="AQ228" s="47" t="s">
        <v>81</v>
      </c>
      <c r="AR228" s="47"/>
      <c r="AS228" s="47" t="s">
        <v>173</v>
      </c>
      <c r="AT228" s="47" t="s">
        <v>128</v>
      </c>
      <c r="AU228" s="47" t="s">
        <v>80</v>
      </c>
      <c r="AV228" s="47"/>
      <c r="AW228" s="47"/>
      <c r="AX228" s="47" t="s">
        <v>129</v>
      </c>
      <c r="AY228" s="49">
        <v>41844</v>
      </c>
      <c r="AZ228" s="47" t="s">
        <v>80</v>
      </c>
      <c r="BA228" s="47"/>
      <c r="BB228" s="47" t="s">
        <v>2359</v>
      </c>
      <c r="BC228" s="47" t="s">
        <v>2542</v>
      </c>
      <c r="BD228" s="47">
        <v>524031764</v>
      </c>
      <c r="BE228" s="47">
        <v>5506</v>
      </c>
      <c r="BF228" s="53">
        <v>1001181</v>
      </c>
    </row>
    <row r="229" spans="1:58" s="51" customFormat="1" ht="23.4" hidden="1" x14ac:dyDescent="0.25">
      <c r="A229" s="46">
        <v>228</v>
      </c>
      <c r="B229" s="47">
        <v>9849</v>
      </c>
      <c r="C229" s="47">
        <v>1634553</v>
      </c>
      <c r="D229" s="47" t="s">
        <v>1964</v>
      </c>
      <c r="E229" s="47" t="s">
        <v>86</v>
      </c>
      <c r="F229" s="47" t="s">
        <v>1965</v>
      </c>
      <c r="G229" s="47" t="str">
        <f>CONCATENATE(TRIM(الجدول2[[#This Row],[الاسم الأول]])," ",TRIM(الجدول2[[#This Row],[اسم الأب]])," ",TRIM(الجدول2[[#This Row],[الكنية]]))</f>
        <v>نغم احمد زيدو</v>
      </c>
      <c r="H229" s="47" t="s">
        <v>1966</v>
      </c>
      <c r="I229" s="48" t="s">
        <v>1967</v>
      </c>
      <c r="J229" s="47" t="s">
        <v>58</v>
      </c>
      <c r="K229" s="47" t="s">
        <v>59</v>
      </c>
      <c r="L229" s="47" t="s">
        <v>59</v>
      </c>
      <c r="M229" s="47" t="s">
        <v>60</v>
      </c>
      <c r="N229" s="47" t="s">
        <v>59</v>
      </c>
      <c r="O229" s="49">
        <v>36101</v>
      </c>
      <c r="P229" s="47" t="s">
        <v>1968</v>
      </c>
      <c r="Q229" s="47" t="s">
        <v>179</v>
      </c>
      <c r="R229" s="48" t="s">
        <v>1969</v>
      </c>
      <c r="S229" s="47" t="s">
        <v>65</v>
      </c>
      <c r="T229" s="47"/>
      <c r="U229" s="47"/>
      <c r="V229" s="47" t="s">
        <v>66</v>
      </c>
      <c r="W229" s="47" t="s">
        <v>67</v>
      </c>
      <c r="X229" s="47" t="s">
        <v>68</v>
      </c>
      <c r="Y229" s="47" t="s">
        <v>69</v>
      </c>
      <c r="Z229" s="47" t="s">
        <v>70</v>
      </c>
      <c r="AA229" s="47" t="s">
        <v>1705</v>
      </c>
      <c r="AB229" s="47" t="s">
        <v>197</v>
      </c>
      <c r="AC229" s="47" t="s">
        <v>73</v>
      </c>
      <c r="AD229" s="47" t="s">
        <v>74</v>
      </c>
      <c r="AE229" s="49">
        <v>45522</v>
      </c>
      <c r="AF229" s="47" t="s">
        <v>75</v>
      </c>
      <c r="AG229" s="47"/>
      <c r="AH229" s="47" t="s">
        <v>2277</v>
      </c>
      <c r="AI229" s="47" t="s">
        <v>76</v>
      </c>
      <c r="AJ229" s="47" t="s">
        <v>77</v>
      </c>
      <c r="AK229" s="47" t="s">
        <v>59</v>
      </c>
      <c r="AL229" s="47" t="s">
        <v>141</v>
      </c>
      <c r="AM229" s="47" t="s">
        <v>99</v>
      </c>
      <c r="AN229" s="47" t="s">
        <v>80</v>
      </c>
      <c r="AO229" s="47"/>
      <c r="AP229" s="47"/>
      <c r="AQ229" s="47" t="s">
        <v>81</v>
      </c>
      <c r="AR229" s="47"/>
      <c r="AS229" s="47" t="s">
        <v>82</v>
      </c>
      <c r="AT229" s="47" t="s">
        <v>76</v>
      </c>
      <c r="AU229" s="47" t="s">
        <v>83</v>
      </c>
      <c r="AV229" s="47" t="s">
        <v>84</v>
      </c>
      <c r="AW229" s="47" t="s">
        <v>77</v>
      </c>
      <c r="AX229" s="47" t="s">
        <v>85</v>
      </c>
      <c r="AY229" s="49">
        <v>44605</v>
      </c>
      <c r="AZ229" s="47" t="s">
        <v>80</v>
      </c>
      <c r="BA229" s="47"/>
      <c r="BB229" s="47" t="s">
        <v>2359</v>
      </c>
      <c r="BC229" s="47" t="s">
        <v>2542</v>
      </c>
      <c r="BD229" s="47">
        <v>524113650</v>
      </c>
      <c r="BE229" s="47">
        <v>6196</v>
      </c>
      <c r="BF229" s="53">
        <v>943000</v>
      </c>
    </row>
    <row r="230" spans="1:58" s="51" customFormat="1" ht="23.4" hidden="1" x14ac:dyDescent="0.25">
      <c r="A230" s="46">
        <v>229</v>
      </c>
      <c r="B230" s="47">
        <v>9852</v>
      </c>
      <c r="C230" s="47">
        <v>1634098</v>
      </c>
      <c r="D230" s="47" t="s">
        <v>1964</v>
      </c>
      <c r="E230" s="47" t="s">
        <v>1970</v>
      </c>
      <c r="F230" s="47" t="s">
        <v>1971</v>
      </c>
      <c r="G230" s="47" t="str">
        <f>CONCATENATE(TRIM(الجدول2[[#This Row],[الاسم الأول]])," ",TRIM(الجدول2[[#This Row],[اسم الأب]])," ",TRIM(الجدول2[[#This Row],[الكنية]]))</f>
        <v>نغم رفعت جديد</v>
      </c>
      <c r="H230" s="47" t="s">
        <v>1972</v>
      </c>
      <c r="I230" s="48" t="s">
        <v>1973</v>
      </c>
      <c r="J230" s="47" t="s">
        <v>58</v>
      </c>
      <c r="K230" s="47" t="s">
        <v>59</v>
      </c>
      <c r="L230" s="47" t="s">
        <v>59</v>
      </c>
      <c r="M230" s="47" t="s">
        <v>60</v>
      </c>
      <c r="N230" s="47" t="s">
        <v>59</v>
      </c>
      <c r="O230" s="49">
        <v>30123</v>
      </c>
      <c r="P230" s="47" t="s">
        <v>1974</v>
      </c>
      <c r="Q230" s="47" t="s">
        <v>179</v>
      </c>
      <c r="R230" s="48" t="s">
        <v>1975</v>
      </c>
      <c r="S230" s="47" t="s">
        <v>109</v>
      </c>
      <c r="T230" s="47"/>
      <c r="U230" s="47">
        <v>3</v>
      </c>
      <c r="V230" s="47" t="s">
        <v>66</v>
      </c>
      <c r="W230" s="47" t="s">
        <v>67</v>
      </c>
      <c r="X230" s="47" t="s">
        <v>68</v>
      </c>
      <c r="Y230" s="47" t="s">
        <v>169</v>
      </c>
      <c r="Z230" s="47" t="s">
        <v>288</v>
      </c>
      <c r="AA230" s="47" t="s">
        <v>1976</v>
      </c>
      <c r="AB230" s="47" t="s">
        <v>1977</v>
      </c>
      <c r="AC230" s="47" t="s">
        <v>73</v>
      </c>
      <c r="AD230" s="47" t="s">
        <v>74</v>
      </c>
      <c r="AE230" s="49">
        <v>40497</v>
      </c>
      <c r="AF230" s="47" t="s">
        <v>156</v>
      </c>
      <c r="AG230" s="47"/>
      <c r="AH230" s="47" t="s">
        <v>2277</v>
      </c>
      <c r="AI230" s="47" t="s">
        <v>327</v>
      </c>
      <c r="AJ230" s="47" t="s">
        <v>686</v>
      </c>
      <c r="AK230" s="47" t="s">
        <v>59</v>
      </c>
      <c r="AL230" s="47" t="s">
        <v>59</v>
      </c>
      <c r="AM230" s="47" t="s">
        <v>99</v>
      </c>
      <c r="AN230" s="47" t="s">
        <v>80</v>
      </c>
      <c r="AO230" s="47"/>
      <c r="AP230" s="47"/>
      <c r="AQ230" s="47" t="s">
        <v>81</v>
      </c>
      <c r="AR230" s="47"/>
      <c r="AS230" s="47" t="s">
        <v>173</v>
      </c>
      <c r="AT230" s="47" t="s">
        <v>327</v>
      </c>
      <c r="AU230" s="47" t="s">
        <v>83</v>
      </c>
      <c r="AV230" s="47" t="s">
        <v>268</v>
      </c>
      <c r="AW230" s="47" t="s">
        <v>686</v>
      </c>
      <c r="AX230" s="47" t="s">
        <v>1286</v>
      </c>
      <c r="AY230" s="49">
        <v>38556</v>
      </c>
      <c r="AZ230" s="47" t="s">
        <v>80</v>
      </c>
      <c r="BA230" s="47"/>
      <c r="BB230" s="47" t="s">
        <v>2359</v>
      </c>
      <c r="BC230" s="47" t="s">
        <v>2542</v>
      </c>
      <c r="BD230" s="47">
        <v>523137054</v>
      </c>
      <c r="BE230" s="47">
        <v>2568</v>
      </c>
      <c r="BF230" s="53">
        <v>1354155</v>
      </c>
    </row>
    <row r="231" spans="1:58" s="51" customFormat="1" ht="23.4" hidden="1" x14ac:dyDescent="0.25">
      <c r="A231" s="46">
        <v>230</v>
      </c>
      <c r="B231" s="47">
        <v>9853</v>
      </c>
      <c r="C231" s="47"/>
      <c r="D231" s="47" t="s">
        <v>1964</v>
      </c>
      <c r="E231" s="47" t="s">
        <v>411</v>
      </c>
      <c r="F231" s="47" t="s">
        <v>115</v>
      </c>
      <c r="G231" s="47" t="str">
        <f>CONCATENATE(TRIM(الجدول2[[#This Row],[الاسم الأول]])," ",TRIM(الجدول2[[#This Row],[اسم الأب]])," ",TRIM(الجدول2[[#This Row],[الكنية]]))</f>
        <v>نغم سليمان محمد</v>
      </c>
      <c r="H231" s="47" t="s">
        <v>1978</v>
      </c>
      <c r="I231" s="48" t="s">
        <v>1979</v>
      </c>
      <c r="J231" s="47" t="s">
        <v>58</v>
      </c>
      <c r="K231" s="47" t="s">
        <v>59</v>
      </c>
      <c r="L231" s="47" t="s">
        <v>59</v>
      </c>
      <c r="M231" s="47" t="s">
        <v>60</v>
      </c>
      <c r="N231" s="47" t="s">
        <v>406</v>
      </c>
      <c r="O231" s="49">
        <v>31463</v>
      </c>
      <c r="P231" s="47" t="s">
        <v>1980</v>
      </c>
      <c r="Q231" s="47" t="s">
        <v>179</v>
      </c>
      <c r="R231" s="48" t="s">
        <v>1981</v>
      </c>
      <c r="S231" s="47" t="s">
        <v>109</v>
      </c>
      <c r="T231" s="47"/>
      <c r="U231" s="47">
        <v>3</v>
      </c>
      <c r="V231" s="47" t="s">
        <v>66</v>
      </c>
      <c r="W231" s="47" t="s">
        <v>67</v>
      </c>
      <c r="X231" s="47" t="s">
        <v>68</v>
      </c>
      <c r="Y231" s="47" t="s">
        <v>137</v>
      </c>
      <c r="Z231" s="47"/>
      <c r="AA231" s="47"/>
      <c r="AB231" s="47" t="s">
        <v>1982</v>
      </c>
      <c r="AC231" s="47" t="s">
        <v>155</v>
      </c>
      <c r="AD231" s="47" t="s">
        <v>74</v>
      </c>
      <c r="AE231" s="49">
        <v>40826</v>
      </c>
      <c r="AF231" s="47" t="s">
        <v>123</v>
      </c>
      <c r="AG231" s="47"/>
      <c r="AH231" s="47" t="s">
        <v>157</v>
      </c>
      <c r="AI231" s="47" t="s">
        <v>125</v>
      </c>
      <c r="AJ231" s="47"/>
      <c r="AK231" s="47" t="s">
        <v>59</v>
      </c>
      <c r="AL231" s="47" t="s">
        <v>59</v>
      </c>
      <c r="AM231" s="47" t="s">
        <v>99</v>
      </c>
      <c r="AN231" s="47" t="s">
        <v>80</v>
      </c>
      <c r="AO231" s="47"/>
      <c r="AP231" s="47"/>
      <c r="AQ231" s="47" t="s">
        <v>81</v>
      </c>
      <c r="AR231" s="47"/>
      <c r="AS231" s="47" t="s">
        <v>173</v>
      </c>
      <c r="AT231" s="47" t="s">
        <v>128</v>
      </c>
      <c r="AU231" s="47" t="s">
        <v>83</v>
      </c>
      <c r="AV231" s="47"/>
      <c r="AW231" s="47"/>
      <c r="AX231" s="47" t="s">
        <v>355</v>
      </c>
      <c r="AY231" s="49">
        <v>37832</v>
      </c>
      <c r="AZ231" s="47" t="s">
        <v>80</v>
      </c>
      <c r="BA231" s="47" t="s">
        <v>1983</v>
      </c>
      <c r="BB231" s="47" t="s">
        <v>2358</v>
      </c>
      <c r="BC231" s="47" t="s">
        <v>2542</v>
      </c>
      <c r="BD231" s="47">
        <v>528089330</v>
      </c>
      <c r="BE231" s="47">
        <v>22222</v>
      </c>
      <c r="BF231" s="53">
        <v>1185000</v>
      </c>
    </row>
    <row r="232" spans="1:58" s="51" customFormat="1" ht="23.4" hidden="1" x14ac:dyDescent="0.25">
      <c r="A232" s="46">
        <v>231</v>
      </c>
      <c r="B232" s="47">
        <v>9859</v>
      </c>
      <c r="C232" s="47">
        <v>1470708</v>
      </c>
      <c r="D232" s="47" t="s">
        <v>1964</v>
      </c>
      <c r="E232" s="47" t="s">
        <v>115</v>
      </c>
      <c r="F232" s="47" t="s">
        <v>55</v>
      </c>
      <c r="G232" s="47" t="str">
        <f>CONCATENATE(TRIM(الجدول2[[#This Row],[الاسم الأول]])," ",TRIM(الجدول2[[#This Row],[اسم الأب]])," ",TRIM(الجدول2[[#This Row],[الكنية]]))</f>
        <v>نغم محمد حسن</v>
      </c>
      <c r="H232" s="47" t="s">
        <v>1984</v>
      </c>
      <c r="I232" s="48" t="s">
        <v>1985</v>
      </c>
      <c r="J232" s="47" t="s">
        <v>58</v>
      </c>
      <c r="K232" s="47" t="s">
        <v>59</v>
      </c>
      <c r="L232" s="47" t="s">
        <v>105</v>
      </c>
      <c r="M232" s="47" t="s">
        <v>106</v>
      </c>
      <c r="N232" s="47" t="s">
        <v>1986</v>
      </c>
      <c r="O232" s="49">
        <v>34339</v>
      </c>
      <c r="P232" s="47" t="s">
        <v>1987</v>
      </c>
      <c r="Q232" s="47" t="s">
        <v>179</v>
      </c>
      <c r="R232" s="48" t="s">
        <v>1988</v>
      </c>
      <c r="S232" s="47" t="s">
        <v>109</v>
      </c>
      <c r="T232" s="47"/>
      <c r="U232" s="47">
        <v>1</v>
      </c>
      <c r="V232" s="47" t="s">
        <v>66</v>
      </c>
      <c r="W232" s="47" t="s">
        <v>67</v>
      </c>
      <c r="X232" s="47" t="s">
        <v>68</v>
      </c>
      <c r="Y232" s="47" t="s">
        <v>69</v>
      </c>
      <c r="Z232" s="47" t="s">
        <v>1909</v>
      </c>
      <c r="AA232" s="47" t="s">
        <v>991</v>
      </c>
      <c r="AB232" s="47" t="s">
        <v>72</v>
      </c>
      <c r="AC232" s="47" t="s">
        <v>73</v>
      </c>
      <c r="AD232" s="47" t="s">
        <v>74</v>
      </c>
      <c r="AE232" s="49">
        <v>43328</v>
      </c>
      <c r="AF232" s="47" t="s">
        <v>75</v>
      </c>
      <c r="AG232" s="47"/>
      <c r="AH232" s="47" t="s">
        <v>2277</v>
      </c>
      <c r="AI232" s="47" t="s">
        <v>76</v>
      </c>
      <c r="AJ232" s="47" t="s">
        <v>98</v>
      </c>
      <c r="AK232" s="47" t="s">
        <v>59</v>
      </c>
      <c r="AL232" s="47" t="s">
        <v>59</v>
      </c>
      <c r="AM232" s="47" t="s">
        <v>79</v>
      </c>
      <c r="AN232" s="47" t="s">
        <v>80</v>
      </c>
      <c r="AO232" s="47"/>
      <c r="AP232" s="47"/>
      <c r="AQ232" s="47" t="s">
        <v>81</v>
      </c>
      <c r="AR232" s="47"/>
      <c r="AS232" s="47" t="s">
        <v>82</v>
      </c>
      <c r="AT232" s="47" t="s">
        <v>76</v>
      </c>
      <c r="AU232" s="47" t="s">
        <v>83</v>
      </c>
      <c r="AV232" s="47" t="s">
        <v>59</v>
      </c>
      <c r="AW232" s="47" t="s">
        <v>98</v>
      </c>
      <c r="AX232" s="47" t="s">
        <v>100</v>
      </c>
      <c r="AY232" s="49">
        <v>42200</v>
      </c>
      <c r="AZ232" s="47" t="s">
        <v>80</v>
      </c>
      <c r="BA232" s="47" t="s">
        <v>1989</v>
      </c>
      <c r="BB232" s="47" t="s">
        <v>2359</v>
      </c>
      <c r="BC232" s="47" t="s">
        <v>2542</v>
      </c>
      <c r="BD232" s="47">
        <v>524142970</v>
      </c>
      <c r="BE232" s="47">
        <v>6414</v>
      </c>
      <c r="BF232" s="53">
        <v>1187385</v>
      </c>
    </row>
    <row r="233" spans="1:58" s="51" customFormat="1" ht="23.4" hidden="1" x14ac:dyDescent="0.25">
      <c r="A233" s="46">
        <v>232</v>
      </c>
      <c r="B233" s="47">
        <v>9881</v>
      </c>
      <c r="C233" s="47">
        <v>1388944</v>
      </c>
      <c r="D233" s="47" t="s">
        <v>1990</v>
      </c>
      <c r="E233" s="47" t="s">
        <v>131</v>
      </c>
      <c r="F233" s="47" t="s">
        <v>55</v>
      </c>
      <c r="G233" s="47" t="str">
        <f>CONCATENATE(TRIM(الجدول2[[#This Row],[الاسم الأول]])," ",TRIM(الجدول2[[#This Row],[اسم الأب]])," ",TRIM(الجدول2[[#This Row],[الكنية]]))</f>
        <v>نهال علي حسن</v>
      </c>
      <c r="H233" s="47" t="s">
        <v>1991</v>
      </c>
      <c r="I233" s="48" t="s">
        <v>1992</v>
      </c>
      <c r="J233" s="47" t="s">
        <v>58</v>
      </c>
      <c r="K233" s="47" t="s">
        <v>59</v>
      </c>
      <c r="L233" s="47" t="s">
        <v>164</v>
      </c>
      <c r="M233" s="47" t="s">
        <v>165</v>
      </c>
      <c r="N233" s="47" t="s">
        <v>1993</v>
      </c>
      <c r="O233" s="49">
        <v>29434</v>
      </c>
      <c r="P233" s="47" t="s">
        <v>1994</v>
      </c>
      <c r="Q233" s="47" t="s">
        <v>179</v>
      </c>
      <c r="R233" s="48" t="s">
        <v>1995</v>
      </c>
      <c r="S233" s="47" t="s">
        <v>109</v>
      </c>
      <c r="T233" s="47"/>
      <c r="U233" s="47">
        <v>1</v>
      </c>
      <c r="V233" s="47" t="s">
        <v>66</v>
      </c>
      <c r="W233" s="47" t="s">
        <v>67</v>
      </c>
      <c r="X233" s="47" t="s">
        <v>68</v>
      </c>
      <c r="Y233" s="47" t="s">
        <v>1382</v>
      </c>
      <c r="Z233" s="47" t="s">
        <v>1793</v>
      </c>
      <c r="AA233" s="47"/>
      <c r="AB233" s="47" t="s">
        <v>1794</v>
      </c>
      <c r="AC233" s="47" t="s">
        <v>73</v>
      </c>
      <c r="AD233" s="47" t="s">
        <v>74</v>
      </c>
      <c r="AE233" s="49">
        <v>41140</v>
      </c>
      <c r="AF233" s="47" t="s">
        <v>290</v>
      </c>
      <c r="AG233" s="47"/>
      <c r="AH233" s="47" t="s">
        <v>2277</v>
      </c>
      <c r="AI233" s="47" t="s">
        <v>76</v>
      </c>
      <c r="AJ233" s="47" t="s">
        <v>293</v>
      </c>
      <c r="AK233" s="47" t="s">
        <v>59</v>
      </c>
      <c r="AL233" s="47" t="s">
        <v>164</v>
      </c>
      <c r="AM233" s="47" t="s">
        <v>99</v>
      </c>
      <c r="AN233" s="47" t="s">
        <v>83</v>
      </c>
      <c r="AO233" s="47" t="s">
        <v>1996</v>
      </c>
      <c r="AP233" s="47" t="s">
        <v>424</v>
      </c>
      <c r="AQ233" s="47" t="s">
        <v>81</v>
      </c>
      <c r="AR233" s="47"/>
      <c r="AS233" s="47" t="s">
        <v>173</v>
      </c>
      <c r="AT233" s="47" t="s">
        <v>76</v>
      </c>
      <c r="AU233" s="47" t="s">
        <v>83</v>
      </c>
      <c r="AV233" s="47" t="s">
        <v>425</v>
      </c>
      <c r="AW233" s="47" t="s">
        <v>1997</v>
      </c>
      <c r="AX233" s="47" t="s">
        <v>1998</v>
      </c>
      <c r="AY233" s="49">
        <v>38777</v>
      </c>
      <c r="AZ233" s="47" t="s">
        <v>83</v>
      </c>
      <c r="BA233" s="47"/>
      <c r="BB233" s="47" t="s">
        <v>2359</v>
      </c>
      <c r="BC233" s="47" t="s">
        <v>2542</v>
      </c>
      <c r="BD233" s="47">
        <v>523102571</v>
      </c>
      <c r="BE233" s="47">
        <v>2216</v>
      </c>
      <c r="BF233" s="53">
        <v>1395456</v>
      </c>
    </row>
    <row r="234" spans="1:58" s="51" customFormat="1" ht="23.4" hidden="1" x14ac:dyDescent="0.25">
      <c r="A234" s="46">
        <v>233</v>
      </c>
      <c r="B234" s="47">
        <v>9891</v>
      </c>
      <c r="C234" s="47">
        <v>1169060</v>
      </c>
      <c r="D234" s="47" t="s">
        <v>1999</v>
      </c>
      <c r="E234" s="47" t="s">
        <v>86</v>
      </c>
      <c r="F234" s="47" t="s">
        <v>2000</v>
      </c>
      <c r="G234" s="47" t="str">
        <f>CONCATENATE(TRIM(الجدول2[[#This Row],[الاسم الأول]])," ",TRIM(الجدول2[[#This Row],[اسم الأب]])," ",TRIM(الجدول2[[#This Row],[الكنية]]))</f>
        <v>نهى احمد مكنا</v>
      </c>
      <c r="H234" s="47" t="s">
        <v>2001</v>
      </c>
      <c r="I234" s="48" t="s">
        <v>2002</v>
      </c>
      <c r="J234" s="47" t="s">
        <v>58</v>
      </c>
      <c r="K234" s="47" t="s">
        <v>59</v>
      </c>
      <c r="L234" s="47" t="s">
        <v>59</v>
      </c>
      <c r="M234" s="47" t="s">
        <v>60</v>
      </c>
      <c r="N234" s="47" t="s">
        <v>59</v>
      </c>
      <c r="O234" s="49">
        <v>26304</v>
      </c>
      <c r="P234" s="47" t="s">
        <v>2003</v>
      </c>
      <c r="Q234" s="47" t="s">
        <v>179</v>
      </c>
      <c r="R234" s="48" t="s">
        <v>2004</v>
      </c>
      <c r="S234" s="47" t="s">
        <v>65</v>
      </c>
      <c r="T234" s="47"/>
      <c r="U234" s="47"/>
      <c r="V234" s="47" t="s">
        <v>66</v>
      </c>
      <c r="W234" s="47" t="s">
        <v>67</v>
      </c>
      <c r="X234" s="47" t="s">
        <v>68</v>
      </c>
      <c r="Y234" s="54" t="s">
        <v>233</v>
      </c>
      <c r="Z234" s="47"/>
      <c r="AA234" s="47"/>
      <c r="AB234" s="47" t="s">
        <v>2005</v>
      </c>
      <c r="AC234" s="47" t="s">
        <v>73</v>
      </c>
      <c r="AD234" s="47" t="s">
        <v>74</v>
      </c>
      <c r="AE234" s="49">
        <v>36163</v>
      </c>
      <c r="AF234" s="47" t="s">
        <v>75</v>
      </c>
      <c r="AG234" s="47"/>
      <c r="AH234" s="47" t="s">
        <v>2277</v>
      </c>
      <c r="AI234" s="47" t="s">
        <v>76</v>
      </c>
      <c r="AJ234" s="47" t="s">
        <v>277</v>
      </c>
      <c r="AK234" s="47" t="s">
        <v>59</v>
      </c>
      <c r="AL234" s="47" t="s">
        <v>59</v>
      </c>
      <c r="AM234" s="47" t="s">
        <v>99</v>
      </c>
      <c r="AN234" s="47" t="s">
        <v>80</v>
      </c>
      <c r="AO234" s="47"/>
      <c r="AP234" s="47"/>
      <c r="AQ234" s="47" t="s">
        <v>81</v>
      </c>
      <c r="AR234" s="47"/>
      <c r="AS234" s="47" t="s">
        <v>82</v>
      </c>
      <c r="AT234" s="47" t="s">
        <v>76</v>
      </c>
      <c r="AU234" s="47" t="s">
        <v>83</v>
      </c>
      <c r="AV234" s="47" t="s">
        <v>184</v>
      </c>
      <c r="AW234" s="47" t="s">
        <v>277</v>
      </c>
      <c r="AX234" s="47" t="s">
        <v>2006</v>
      </c>
      <c r="AY234" s="49">
        <v>36059</v>
      </c>
      <c r="AZ234" s="47" t="s">
        <v>80</v>
      </c>
      <c r="BA234" s="47"/>
      <c r="BB234" s="47" t="s">
        <v>2359</v>
      </c>
      <c r="BC234" s="47" t="s">
        <v>2542</v>
      </c>
      <c r="BD234" s="47">
        <v>523941696</v>
      </c>
      <c r="BE234" s="47">
        <v>4714</v>
      </c>
      <c r="BF234" s="53">
        <v>1409000</v>
      </c>
    </row>
    <row r="235" spans="1:58" s="51" customFormat="1" ht="23.4" hidden="1" x14ac:dyDescent="0.25">
      <c r="A235" s="46">
        <v>234</v>
      </c>
      <c r="B235" s="47">
        <v>9898</v>
      </c>
      <c r="C235" s="47"/>
      <c r="D235" s="47" t="s">
        <v>2007</v>
      </c>
      <c r="E235" s="47" t="s">
        <v>2008</v>
      </c>
      <c r="F235" s="47" t="s">
        <v>2009</v>
      </c>
      <c r="G235" s="47" t="str">
        <f>CONCATENATE(TRIM(الجدول2[[#This Row],[الاسم الأول]])," ",TRIM(الجدول2[[#This Row],[اسم الأب]])," ",TRIM(الجدول2[[#This Row],[الكنية]]))</f>
        <v>نوار تيسير حسن بلال</v>
      </c>
      <c r="H235" s="47" t="s">
        <v>2010</v>
      </c>
      <c r="I235" s="48" t="s">
        <v>2011</v>
      </c>
      <c r="J235" s="47" t="s">
        <v>58</v>
      </c>
      <c r="K235" s="47" t="s">
        <v>59</v>
      </c>
      <c r="L235" s="47" t="s">
        <v>164</v>
      </c>
      <c r="M235" s="47" t="s">
        <v>165</v>
      </c>
      <c r="N235" s="47" t="s">
        <v>164</v>
      </c>
      <c r="O235" s="49">
        <v>32212</v>
      </c>
      <c r="P235" s="47" t="s">
        <v>2012</v>
      </c>
      <c r="Q235" s="47" t="s">
        <v>63</v>
      </c>
      <c r="R235" s="48" t="s">
        <v>2013</v>
      </c>
      <c r="S235" s="47" t="s">
        <v>109</v>
      </c>
      <c r="T235" s="47">
        <v>1</v>
      </c>
      <c r="U235" s="47">
        <v>2</v>
      </c>
      <c r="V235" s="47" t="s">
        <v>66</v>
      </c>
      <c r="W235" s="47" t="s">
        <v>67</v>
      </c>
      <c r="X235" s="47" t="s">
        <v>68</v>
      </c>
      <c r="Y235" s="47" t="s">
        <v>797</v>
      </c>
      <c r="Z235" s="47"/>
      <c r="AA235" s="47"/>
      <c r="AB235" s="47" t="s">
        <v>72</v>
      </c>
      <c r="AC235" s="47" t="s">
        <v>73</v>
      </c>
      <c r="AD235" s="47" t="s">
        <v>74</v>
      </c>
      <c r="AE235" s="49">
        <v>41492</v>
      </c>
      <c r="AF235" s="47" t="s">
        <v>75</v>
      </c>
      <c r="AG235" s="47"/>
      <c r="AH235" s="47" t="s">
        <v>2277</v>
      </c>
      <c r="AI235" s="47" t="s">
        <v>76</v>
      </c>
      <c r="AJ235" s="47" t="s">
        <v>277</v>
      </c>
      <c r="AK235" s="47" t="s">
        <v>59</v>
      </c>
      <c r="AL235" s="47" t="s">
        <v>59</v>
      </c>
      <c r="AM235" s="47" t="s">
        <v>99</v>
      </c>
      <c r="AN235" s="47" t="s">
        <v>83</v>
      </c>
      <c r="AO235" s="47" t="s">
        <v>2014</v>
      </c>
      <c r="AP235" s="47" t="s">
        <v>342</v>
      </c>
      <c r="AQ235" s="47" t="s">
        <v>81</v>
      </c>
      <c r="AR235" s="47"/>
      <c r="AS235" s="47" t="s">
        <v>236</v>
      </c>
      <c r="AT235" s="47" t="s">
        <v>76</v>
      </c>
      <c r="AU235" s="47" t="s">
        <v>83</v>
      </c>
      <c r="AV235" s="47" t="s">
        <v>650</v>
      </c>
      <c r="AW235" s="47" t="s">
        <v>2015</v>
      </c>
      <c r="AX235" s="47" t="s">
        <v>2016</v>
      </c>
      <c r="AY235" s="49">
        <v>45281</v>
      </c>
      <c r="AZ235" s="47" t="s">
        <v>80</v>
      </c>
      <c r="BA235" s="47" t="s">
        <v>2017</v>
      </c>
      <c r="BB235" s="47" t="s">
        <v>2359</v>
      </c>
      <c r="BC235" s="47" t="s">
        <v>2542</v>
      </c>
      <c r="BD235" s="47">
        <v>523135941</v>
      </c>
      <c r="BE235" s="47">
        <v>2557</v>
      </c>
      <c r="BF235" s="53">
        <v>1325511</v>
      </c>
    </row>
    <row r="236" spans="1:58" s="51" customFormat="1" ht="23.4" hidden="1" x14ac:dyDescent="0.25">
      <c r="A236" s="46">
        <v>235</v>
      </c>
      <c r="B236" s="47">
        <v>9907</v>
      </c>
      <c r="C236" s="47"/>
      <c r="D236" s="47" t="s">
        <v>2007</v>
      </c>
      <c r="E236" s="47" t="s">
        <v>2018</v>
      </c>
      <c r="F236" s="47" t="s">
        <v>1971</v>
      </c>
      <c r="G236" s="47" t="str">
        <f>CONCATENATE(TRIM(الجدول2[[#This Row],[الاسم الأول]])," ",TRIM(الجدول2[[#This Row],[اسم الأب]])," ",TRIM(الجدول2[[#This Row],[الكنية]]))</f>
        <v>نوار فرحات جديد</v>
      </c>
      <c r="H236" s="47" t="s">
        <v>2019</v>
      </c>
      <c r="I236" s="48" t="s">
        <v>2020</v>
      </c>
      <c r="J236" s="47" t="s">
        <v>58</v>
      </c>
      <c r="K236" s="47" t="s">
        <v>59</v>
      </c>
      <c r="L236" s="47" t="s">
        <v>59</v>
      </c>
      <c r="M236" s="47" t="s">
        <v>60</v>
      </c>
      <c r="N236" s="47" t="s">
        <v>2021</v>
      </c>
      <c r="O236" s="49">
        <v>30789</v>
      </c>
      <c r="P236" s="47" t="s">
        <v>2022</v>
      </c>
      <c r="Q236" s="47" t="s">
        <v>63</v>
      </c>
      <c r="R236" s="48" t="s">
        <v>2023</v>
      </c>
      <c r="S236" s="47" t="s">
        <v>418</v>
      </c>
      <c r="T236" s="47"/>
      <c r="U236" s="47">
        <v>2</v>
      </c>
      <c r="V236" s="47" t="s">
        <v>66</v>
      </c>
      <c r="W236" s="47" t="s">
        <v>67</v>
      </c>
      <c r="X236" s="47" t="s">
        <v>68</v>
      </c>
      <c r="Y236" s="47" t="s">
        <v>501</v>
      </c>
      <c r="Z236" s="47" t="s">
        <v>685</v>
      </c>
      <c r="AA236" s="47"/>
      <c r="AB236" s="47" t="s">
        <v>491</v>
      </c>
      <c r="AC236" s="47" t="s">
        <v>73</v>
      </c>
      <c r="AD236" s="47" t="s">
        <v>74</v>
      </c>
      <c r="AE236" s="49">
        <v>40829</v>
      </c>
      <c r="AF236" s="47" t="s">
        <v>123</v>
      </c>
      <c r="AG236" s="47"/>
      <c r="AH236" s="47" t="s">
        <v>2277</v>
      </c>
      <c r="AI236" s="47" t="s">
        <v>327</v>
      </c>
      <c r="AJ236" s="47" t="s">
        <v>686</v>
      </c>
      <c r="AK236" s="47" t="s">
        <v>59</v>
      </c>
      <c r="AL236" s="47" t="s">
        <v>59</v>
      </c>
      <c r="AM236" s="47" t="s">
        <v>79</v>
      </c>
      <c r="AN236" s="47" t="s">
        <v>80</v>
      </c>
      <c r="AO236" s="47"/>
      <c r="AP236" s="47"/>
      <c r="AQ236" s="47" t="s">
        <v>81</v>
      </c>
      <c r="AR236" s="47"/>
      <c r="AS236" s="47" t="s">
        <v>446</v>
      </c>
      <c r="AT236" s="47" t="s">
        <v>327</v>
      </c>
      <c r="AU236" s="47" t="s">
        <v>83</v>
      </c>
      <c r="AV236" s="47" t="s">
        <v>61</v>
      </c>
      <c r="AW236" s="47" t="s">
        <v>686</v>
      </c>
      <c r="AX236" s="47" t="s">
        <v>2024</v>
      </c>
      <c r="AY236" s="49">
        <v>39287</v>
      </c>
      <c r="AZ236" s="47" t="s">
        <v>80</v>
      </c>
      <c r="BA236" s="47"/>
      <c r="BB236" s="47" t="s">
        <v>2359</v>
      </c>
      <c r="BC236" s="47" t="s">
        <v>2542</v>
      </c>
      <c r="BD236" s="47">
        <v>524026812</v>
      </c>
      <c r="BE236" s="47">
        <v>5470</v>
      </c>
      <c r="BF236" s="53">
        <v>1343796</v>
      </c>
    </row>
    <row r="237" spans="1:58" s="51" customFormat="1" ht="23.4" hidden="1" x14ac:dyDescent="0.25">
      <c r="A237" s="46">
        <v>236</v>
      </c>
      <c r="B237" s="47">
        <v>9935</v>
      </c>
      <c r="C237" s="47"/>
      <c r="D237" s="47" t="s">
        <v>2025</v>
      </c>
      <c r="E237" s="47" t="s">
        <v>763</v>
      </c>
      <c r="F237" s="47" t="s">
        <v>941</v>
      </c>
      <c r="G237" s="47" t="str">
        <f>CONCATENATE(TRIM(الجدول2[[#This Row],[الاسم الأول]])," ",TRIM(الجدول2[[#This Row],[اسم الأب]])," ",TRIM(الجدول2[[#This Row],[الكنية]]))</f>
        <v>نور رمضان بلال</v>
      </c>
      <c r="H237" s="47" t="s">
        <v>2026</v>
      </c>
      <c r="I237" s="48" t="s">
        <v>2027</v>
      </c>
      <c r="J237" s="47" t="s">
        <v>58</v>
      </c>
      <c r="K237" s="47" t="s">
        <v>59</v>
      </c>
      <c r="L237" s="47" t="s">
        <v>59</v>
      </c>
      <c r="M237" s="47" t="s">
        <v>60</v>
      </c>
      <c r="N237" s="47" t="s">
        <v>59</v>
      </c>
      <c r="O237" s="49">
        <v>34408</v>
      </c>
      <c r="P237" s="47" t="s">
        <v>2028</v>
      </c>
      <c r="Q237" s="47" t="s">
        <v>179</v>
      </c>
      <c r="R237" s="48" t="s">
        <v>2029</v>
      </c>
      <c r="S237" s="47" t="s">
        <v>109</v>
      </c>
      <c r="T237" s="47"/>
      <c r="U237" s="47">
        <v>3</v>
      </c>
      <c r="V237" s="47" t="s">
        <v>66</v>
      </c>
      <c r="W237" s="47" t="s">
        <v>67</v>
      </c>
      <c r="X237" s="47" t="s">
        <v>68</v>
      </c>
      <c r="Y237" s="47" t="s">
        <v>137</v>
      </c>
      <c r="Z237" s="47"/>
      <c r="AA237" s="47"/>
      <c r="AB237" s="47" t="s">
        <v>72</v>
      </c>
      <c r="AC237" s="47" t="s">
        <v>73</v>
      </c>
      <c r="AD237" s="47" t="s">
        <v>74</v>
      </c>
      <c r="AE237" s="49">
        <v>43804</v>
      </c>
      <c r="AF237" s="47" t="s">
        <v>75</v>
      </c>
      <c r="AG237" s="47"/>
      <c r="AH237" s="47" t="s">
        <v>2277</v>
      </c>
      <c r="AI237" s="47" t="s">
        <v>76</v>
      </c>
      <c r="AJ237" s="47" t="s">
        <v>198</v>
      </c>
      <c r="AK237" s="47" t="s">
        <v>59</v>
      </c>
      <c r="AL237" s="47" t="s">
        <v>59</v>
      </c>
      <c r="AM237" s="47" t="s">
        <v>99</v>
      </c>
      <c r="AN237" s="47" t="s">
        <v>83</v>
      </c>
      <c r="AO237" s="47" t="s">
        <v>2030</v>
      </c>
      <c r="AP237" s="47" t="s">
        <v>2031</v>
      </c>
      <c r="AQ237" s="47" t="s">
        <v>81</v>
      </c>
      <c r="AR237" s="47"/>
      <c r="AS237" s="47" t="s">
        <v>142</v>
      </c>
      <c r="AT237" s="47" t="s">
        <v>76</v>
      </c>
      <c r="AU237" s="47" t="s">
        <v>83</v>
      </c>
      <c r="AV237" s="47" t="s">
        <v>199</v>
      </c>
      <c r="AW237" s="47" t="s">
        <v>198</v>
      </c>
      <c r="AX237" s="47" t="s">
        <v>825</v>
      </c>
      <c r="AY237" s="49">
        <v>42969</v>
      </c>
      <c r="AZ237" s="47" t="s">
        <v>80</v>
      </c>
      <c r="BA237" s="47" t="s">
        <v>2032</v>
      </c>
      <c r="BB237" s="47" t="s">
        <v>2358</v>
      </c>
      <c r="BC237" s="47" t="s">
        <v>2542</v>
      </c>
      <c r="BD237" s="47">
        <v>527826249</v>
      </c>
      <c r="BE237" s="47">
        <v>20834</v>
      </c>
      <c r="BF237" s="53">
        <v>1124100</v>
      </c>
    </row>
    <row r="238" spans="1:58" s="51" customFormat="1" ht="23.4" hidden="1" x14ac:dyDescent="0.25">
      <c r="A238" s="46">
        <v>237</v>
      </c>
      <c r="B238" s="47">
        <v>9943</v>
      </c>
      <c r="C238" s="47"/>
      <c r="D238" s="47" t="s">
        <v>2025</v>
      </c>
      <c r="E238" s="47" t="s">
        <v>1183</v>
      </c>
      <c r="F238" s="47" t="s">
        <v>2033</v>
      </c>
      <c r="G238" s="47" t="str">
        <f>CONCATENATE(TRIM(الجدول2[[#This Row],[الاسم الأول]])," ",TRIM(الجدول2[[#This Row],[اسم الأب]])," ",TRIM(الجدول2[[#This Row],[الكنية]]))</f>
        <v>نور عزت المحمد</v>
      </c>
      <c r="H238" s="47" t="s">
        <v>2034</v>
      </c>
      <c r="I238" s="48" t="s">
        <v>2035</v>
      </c>
      <c r="J238" s="47" t="s">
        <v>58</v>
      </c>
      <c r="K238" s="47" t="s">
        <v>59</v>
      </c>
      <c r="L238" s="47" t="s">
        <v>59</v>
      </c>
      <c r="M238" s="47" t="s">
        <v>60</v>
      </c>
      <c r="N238" s="47" t="s">
        <v>518</v>
      </c>
      <c r="O238" s="49">
        <v>34719</v>
      </c>
      <c r="P238" s="47" t="s">
        <v>2036</v>
      </c>
      <c r="Q238" s="47" t="s">
        <v>179</v>
      </c>
      <c r="R238" s="48" t="s">
        <v>2037</v>
      </c>
      <c r="S238" s="47" t="s">
        <v>109</v>
      </c>
      <c r="T238" s="47"/>
      <c r="U238" s="47">
        <v>3</v>
      </c>
      <c r="V238" s="47" t="s">
        <v>66</v>
      </c>
      <c r="W238" s="47" t="s">
        <v>67</v>
      </c>
      <c r="X238" s="47" t="s">
        <v>68</v>
      </c>
      <c r="Y238" s="47" t="s">
        <v>137</v>
      </c>
      <c r="Z238" s="47"/>
      <c r="AA238" s="47"/>
      <c r="AB238" s="47" t="s">
        <v>289</v>
      </c>
      <c r="AC238" s="47" t="s">
        <v>73</v>
      </c>
      <c r="AD238" s="47" t="s">
        <v>74</v>
      </c>
      <c r="AE238" s="49">
        <v>43040</v>
      </c>
      <c r="AF238" s="47" t="s">
        <v>139</v>
      </c>
      <c r="AG238" s="47"/>
      <c r="AH238" s="47" t="s">
        <v>2277</v>
      </c>
      <c r="AI238" s="47" t="s">
        <v>327</v>
      </c>
      <c r="AJ238" s="47" t="s">
        <v>686</v>
      </c>
      <c r="AK238" s="47" t="s">
        <v>59</v>
      </c>
      <c r="AL238" s="47" t="s">
        <v>105</v>
      </c>
      <c r="AM238" s="47" t="s">
        <v>99</v>
      </c>
      <c r="AN238" s="47" t="s">
        <v>80</v>
      </c>
      <c r="AO238" s="47"/>
      <c r="AP238" s="47"/>
      <c r="AQ238" s="47" t="s">
        <v>81</v>
      </c>
      <c r="AR238" s="47"/>
      <c r="AS238" s="47" t="s">
        <v>82</v>
      </c>
      <c r="AT238" s="47" t="s">
        <v>327</v>
      </c>
      <c r="AU238" s="47" t="s">
        <v>83</v>
      </c>
      <c r="AV238" s="47" t="s">
        <v>361</v>
      </c>
      <c r="AW238" s="47" t="s">
        <v>686</v>
      </c>
      <c r="AX238" s="47" t="s">
        <v>686</v>
      </c>
      <c r="AY238" s="49">
        <v>43670</v>
      </c>
      <c r="AZ238" s="47" t="s">
        <v>80</v>
      </c>
      <c r="BA238" s="47" t="s">
        <v>2038</v>
      </c>
      <c r="BB238" s="47" t="s">
        <v>2358</v>
      </c>
      <c r="BC238" s="47" t="s">
        <v>2542</v>
      </c>
      <c r="BD238" s="47">
        <v>524057872</v>
      </c>
      <c r="BE238" s="47">
        <v>5734</v>
      </c>
      <c r="BF238" s="53">
        <v>1239939</v>
      </c>
    </row>
    <row r="239" spans="1:58" s="51" customFormat="1" ht="23.4" hidden="1" x14ac:dyDescent="0.25">
      <c r="A239" s="46">
        <v>238</v>
      </c>
      <c r="B239" s="47">
        <v>9960</v>
      </c>
      <c r="C239" s="47"/>
      <c r="D239" s="47" t="s">
        <v>2039</v>
      </c>
      <c r="E239" s="47" t="s">
        <v>1769</v>
      </c>
      <c r="F239" s="47" t="s">
        <v>2040</v>
      </c>
      <c r="G239" s="47" t="str">
        <f>CONCATENATE(TRIM(الجدول2[[#This Row],[الاسم الأول]])," ",TRIM(الجدول2[[#This Row],[اسم الأب]])," ",TRIM(الجدول2[[#This Row],[الكنية]]))</f>
        <v>نورا وهيب بدور</v>
      </c>
      <c r="H239" s="47" t="s">
        <v>2041</v>
      </c>
      <c r="I239" s="48" t="s">
        <v>2042</v>
      </c>
      <c r="J239" s="47" t="s">
        <v>58</v>
      </c>
      <c r="K239" s="47" t="s">
        <v>59</v>
      </c>
      <c r="L239" s="47" t="s">
        <v>59</v>
      </c>
      <c r="M239" s="47" t="s">
        <v>60</v>
      </c>
      <c r="N239" s="47" t="s">
        <v>1914</v>
      </c>
      <c r="O239" s="49">
        <v>29746</v>
      </c>
      <c r="P239" s="47" t="s">
        <v>2043</v>
      </c>
      <c r="Q239" s="47" t="s">
        <v>179</v>
      </c>
      <c r="R239" s="48" t="s">
        <v>2044</v>
      </c>
      <c r="S239" s="47" t="s">
        <v>418</v>
      </c>
      <c r="T239" s="47"/>
      <c r="U239" s="47">
        <v>0</v>
      </c>
      <c r="V239" s="47" t="s">
        <v>66</v>
      </c>
      <c r="W239" s="47" t="s">
        <v>67</v>
      </c>
      <c r="X239" s="47" t="s">
        <v>68</v>
      </c>
      <c r="Y239" s="47" t="s">
        <v>501</v>
      </c>
      <c r="Z239" s="47"/>
      <c r="AA239" s="47"/>
      <c r="AB239" s="47" t="s">
        <v>642</v>
      </c>
      <c r="AC239" s="47" t="s">
        <v>155</v>
      </c>
      <c r="AD239" s="47" t="s">
        <v>74</v>
      </c>
      <c r="AE239" s="49">
        <v>43966</v>
      </c>
      <c r="AF239" s="47" t="s">
        <v>123</v>
      </c>
      <c r="AG239" s="47"/>
      <c r="AH239" s="47" t="s">
        <v>140</v>
      </c>
      <c r="AI239" s="47" t="s">
        <v>143</v>
      </c>
      <c r="AJ239" s="47"/>
      <c r="AK239" s="47" t="s">
        <v>59</v>
      </c>
      <c r="AL239" s="47" t="s">
        <v>164</v>
      </c>
      <c r="AM239" s="47" t="s">
        <v>79</v>
      </c>
      <c r="AN239" s="47" t="s">
        <v>80</v>
      </c>
      <c r="AO239" s="47"/>
      <c r="AP239" s="47"/>
      <c r="AQ239" s="47" t="s">
        <v>81</v>
      </c>
      <c r="AR239" s="47"/>
      <c r="AS239" s="47" t="s">
        <v>82</v>
      </c>
      <c r="AT239" s="47" t="s">
        <v>143</v>
      </c>
      <c r="AU239" s="47" t="s">
        <v>83</v>
      </c>
      <c r="AV239" s="47"/>
      <c r="AW239" s="47"/>
      <c r="AX239" s="47"/>
      <c r="AY239" s="49">
        <v>33809</v>
      </c>
      <c r="AZ239" s="47" t="s">
        <v>80</v>
      </c>
      <c r="BA239" s="47"/>
      <c r="BB239" s="47" t="s">
        <v>2359</v>
      </c>
      <c r="BC239" s="47" t="s">
        <v>2542</v>
      </c>
      <c r="BD239" s="47">
        <v>524044337</v>
      </c>
      <c r="BE239" s="47">
        <v>5610</v>
      </c>
      <c r="BF239" s="53">
        <v>994128</v>
      </c>
    </row>
    <row r="240" spans="1:58" s="51" customFormat="1" ht="23.4" hidden="1" x14ac:dyDescent="0.25">
      <c r="A240" s="46">
        <v>239</v>
      </c>
      <c r="B240" s="47">
        <v>9981</v>
      </c>
      <c r="C240" s="47"/>
      <c r="D240" s="47" t="s">
        <v>2045</v>
      </c>
      <c r="E240" s="47" t="s">
        <v>86</v>
      </c>
      <c r="F240" s="47" t="s">
        <v>2046</v>
      </c>
      <c r="G240" s="47" t="str">
        <f>CONCATENATE(TRIM(الجدول2[[#This Row],[الاسم الأول]])," ",TRIM(الجدول2[[#This Row],[اسم الأب]])," ",TRIM(الجدول2[[#This Row],[الكنية]]))</f>
        <v>نيرمين احمد بلول</v>
      </c>
      <c r="H240" s="47" t="s">
        <v>2047</v>
      </c>
      <c r="I240" s="48" t="s">
        <v>2048</v>
      </c>
      <c r="J240" s="47" t="s">
        <v>58</v>
      </c>
      <c r="K240" s="47" t="s">
        <v>59</v>
      </c>
      <c r="L240" s="47" t="s">
        <v>105</v>
      </c>
      <c r="M240" s="47" t="s">
        <v>2049</v>
      </c>
      <c r="N240" s="47" t="s">
        <v>2050</v>
      </c>
      <c r="O240" s="49">
        <v>31126</v>
      </c>
      <c r="P240" s="47" t="s">
        <v>2051</v>
      </c>
      <c r="Q240" s="47" t="s">
        <v>179</v>
      </c>
      <c r="R240" s="48" t="s">
        <v>2052</v>
      </c>
      <c r="S240" s="47" t="s">
        <v>109</v>
      </c>
      <c r="T240" s="47"/>
      <c r="U240" s="47">
        <v>1</v>
      </c>
      <c r="V240" s="47" t="s">
        <v>66</v>
      </c>
      <c r="W240" s="47" t="s">
        <v>67</v>
      </c>
      <c r="X240" s="47" t="s">
        <v>68</v>
      </c>
      <c r="Y240" s="47" t="s">
        <v>1382</v>
      </c>
      <c r="Z240" s="47" t="s">
        <v>2053</v>
      </c>
      <c r="AA240" s="47" t="s">
        <v>2054</v>
      </c>
      <c r="AB240" s="47" t="s">
        <v>212</v>
      </c>
      <c r="AC240" s="47" t="s">
        <v>155</v>
      </c>
      <c r="AD240" s="47" t="s">
        <v>74</v>
      </c>
      <c r="AE240" s="49">
        <v>44054</v>
      </c>
      <c r="AF240" s="47" t="s">
        <v>156</v>
      </c>
      <c r="AG240" s="47"/>
      <c r="AH240" s="47" t="s">
        <v>157</v>
      </c>
      <c r="AI240" s="47" t="s">
        <v>143</v>
      </c>
      <c r="AJ240" s="47"/>
      <c r="AK240" s="47" t="s">
        <v>59</v>
      </c>
      <c r="AL240" s="47" t="s">
        <v>105</v>
      </c>
      <c r="AM240" s="47" t="s">
        <v>99</v>
      </c>
      <c r="AN240" s="47" t="s">
        <v>80</v>
      </c>
      <c r="AO240" s="47"/>
      <c r="AP240" s="47"/>
      <c r="AQ240" s="47" t="s">
        <v>81</v>
      </c>
      <c r="AR240" s="47"/>
      <c r="AS240" s="47" t="s">
        <v>82</v>
      </c>
      <c r="AT240" s="47" t="s">
        <v>143</v>
      </c>
      <c r="AU240" s="47" t="s">
        <v>83</v>
      </c>
      <c r="AV240" s="47"/>
      <c r="AW240" s="47"/>
      <c r="AX240" s="47"/>
      <c r="AY240" s="49">
        <v>37629</v>
      </c>
      <c r="AZ240" s="47" t="s">
        <v>80</v>
      </c>
      <c r="BA240" s="47"/>
      <c r="BB240" s="47" t="s">
        <v>2359</v>
      </c>
      <c r="BC240" s="47" t="s">
        <v>2542</v>
      </c>
      <c r="BD240" s="47">
        <v>523129465</v>
      </c>
      <c r="BE240" s="47">
        <v>2490</v>
      </c>
      <c r="BF240" s="53">
        <v>1001241</v>
      </c>
    </row>
    <row r="241" spans="1:58" s="51" customFormat="1" ht="23.4" hidden="1" x14ac:dyDescent="0.25">
      <c r="A241" s="46">
        <v>240</v>
      </c>
      <c r="B241" s="47">
        <v>10033</v>
      </c>
      <c r="C241" s="47">
        <v>1273633</v>
      </c>
      <c r="D241" s="47" t="s">
        <v>2055</v>
      </c>
      <c r="E241" s="47" t="s">
        <v>485</v>
      </c>
      <c r="F241" s="47" t="s">
        <v>2056</v>
      </c>
      <c r="G241" s="47" t="str">
        <f>CONCATENATE(TRIM(الجدول2[[#This Row],[الاسم الأول]])," ",TRIM(الجدول2[[#This Row],[اسم الأب]])," ",TRIM(الجدول2[[#This Row],[الكنية]]))</f>
        <v>هاني عقل ربع</v>
      </c>
      <c r="H241" s="47" t="s">
        <v>2057</v>
      </c>
      <c r="I241" s="48" t="s">
        <v>2058</v>
      </c>
      <c r="J241" s="47" t="s">
        <v>58</v>
      </c>
      <c r="K241" s="47" t="s">
        <v>59</v>
      </c>
      <c r="L241" s="47" t="s">
        <v>59</v>
      </c>
      <c r="M241" s="47" t="s">
        <v>60</v>
      </c>
      <c r="N241" s="47" t="s">
        <v>2059</v>
      </c>
      <c r="O241" s="49">
        <v>30884</v>
      </c>
      <c r="P241" s="47" t="s">
        <v>2060</v>
      </c>
      <c r="Q241" s="47" t="s">
        <v>63</v>
      </c>
      <c r="R241" s="48" t="s">
        <v>2061</v>
      </c>
      <c r="S241" s="47" t="s">
        <v>109</v>
      </c>
      <c r="T241" s="47">
        <v>1</v>
      </c>
      <c r="U241" s="47">
        <v>2</v>
      </c>
      <c r="V241" s="47" t="s">
        <v>66</v>
      </c>
      <c r="W241" s="47" t="s">
        <v>67</v>
      </c>
      <c r="X241" s="47" t="s">
        <v>68</v>
      </c>
      <c r="Y241" s="47" t="s">
        <v>501</v>
      </c>
      <c r="Z241" s="47" t="s">
        <v>1364</v>
      </c>
      <c r="AA241" s="47" t="s">
        <v>1963</v>
      </c>
      <c r="AB241" s="47" t="s">
        <v>72</v>
      </c>
      <c r="AC241" s="47" t="s">
        <v>73</v>
      </c>
      <c r="AD241" s="47" t="s">
        <v>74</v>
      </c>
      <c r="AE241" s="49">
        <v>39980</v>
      </c>
      <c r="AF241" s="47" t="s">
        <v>75</v>
      </c>
      <c r="AG241" s="47"/>
      <c r="AH241" s="47" t="s">
        <v>2277</v>
      </c>
      <c r="AI241" s="47" t="s">
        <v>76</v>
      </c>
      <c r="AJ241" s="47" t="s">
        <v>2062</v>
      </c>
      <c r="AK241" s="47" t="s">
        <v>59</v>
      </c>
      <c r="AL241" s="47" t="s">
        <v>164</v>
      </c>
      <c r="AM241" s="47" t="s">
        <v>99</v>
      </c>
      <c r="AN241" s="47" t="s">
        <v>80</v>
      </c>
      <c r="AO241" s="47"/>
      <c r="AP241" s="47"/>
      <c r="AQ241" s="47" t="s">
        <v>81</v>
      </c>
      <c r="AR241" s="47"/>
      <c r="AS241" s="47" t="s">
        <v>82</v>
      </c>
      <c r="AT241" s="47" t="s">
        <v>76</v>
      </c>
      <c r="AU241" s="47" t="s">
        <v>83</v>
      </c>
      <c r="AV241" s="47" t="s">
        <v>184</v>
      </c>
      <c r="AW241" s="47" t="s">
        <v>504</v>
      </c>
      <c r="AX241" s="47" t="s">
        <v>2063</v>
      </c>
      <c r="AY241" s="49">
        <v>39287</v>
      </c>
      <c r="AZ241" s="47" t="s">
        <v>80</v>
      </c>
      <c r="BA241" s="47"/>
      <c r="BB241" s="47" t="s">
        <v>2359</v>
      </c>
      <c r="BC241" s="47" t="s">
        <v>2542</v>
      </c>
      <c r="BD241" s="47">
        <v>524023423</v>
      </c>
      <c r="BE241" s="47">
        <v>5442</v>
      </c>
      <c r="BF241" s="53">
        <v>1409000</v>
      </c>
    </row>
    <row r="242" spans="1:58" s="51" customFormat="1" ht="23.4" hidden="1" x14ac:dyDescent="0.25">
      <c r="A242" s="46">
        <v>241</v>
      </c>
      <c r="B242" s="47">
        <v>10061</v>
      </c>
      <c r="C242" s="47">
        <v>1468874</v>
      </c>
      <c r="D242" s="47" t="s">
        <v>2064</v>
      </c>
      <c r="E242" s="47" t="s">
        <v>1104</v>
      </c>
      <c r="F242" s="47" t="s">
        <v>2065</v>
      </c>
      <c r="G242" s="47" t="str">
        <f>CONCATENATE(TRIM(الجدول2[[#This Row],[الاسم الأول]])," ",TRIM(الجدول2[[#This Row],[اسم الأب]])," ",TRIM(الجدول2[[#This Row],[الكنية]]))</f>
        <v>هبة عبداللطيف المحمود</v>
      </c>
      <c r="H242" s="47" t="s">
        <v>2066</v>
      </c>
      <c r="I242" s="48" t="s">
        <v>2067</v>
      </c>
      <c r="J242" s="47" t="s">
        <v>58</v>
      </c>
      <c r="K242" s="47" t="s">
        <v>59</v>
      </c>
      <c r="L242" s="47" t="s">
        <v>59</v>
      </c>
      <c r="M242" s="47" t="s">
        <v>60</v>
      </c>
      <c r="N242" s="47" t="s">
        <v>2068</v>
      </c>
      <c r="O242" s="49">
        <v>31786</v>
      </c>
      <c r="P242" s="47" t="s">
        <v>2069</v>
      </c>
      <c r="Q242" s="47" t="s">
        <v>179</v>
      </c>
      <c r="R242" s="48" t="s">
        <v>2070</v>
      </c>
      <c r="S242" s="47" t="s">
        <v>109</v>
      </c>
      <c r="T242" s="47"/>
      <c r="U242" s="47">
        <v>0</v>
      </c>
      <c r="V242" s="47" t="s">
        <v>66</v>
      </c>
      <c r="W242" s="47" t="s">
        <v>67</v>
      </c>
      <c r="X242" s="47" t="s">
        <v>68</v>
      </c>
      <c r="Y242" s="47" t="s">
        <v>137</v>
      </c>
      <c r="Z242" s="47"/>
      <c r="AA242" s="47"/>
      <c r="AB242" s="47" t="s">
        <v>289</v>
      </c>
      <c r="AC242" s="47" t="s">
        <v>73</v>
      </c>
      <c r="AD242" s="47" t="s">
        <v>74</v>
      </c>
      <c r="AE242" s="49">
        <v>43262</v>
      </c>
      <c r="AF242" s="47" t="s">
        <v>123</v>
      </c>
      <c r="AG242" s="47"/>
      <c r="AH242" s="47" t="s">
        <v>2277</v>
      </c>
      <c r="AI242" s="47" t="s">
        <v>327</v>
      </c>
      <c r="AJ242" s="47" t="s">
        <v>686</v>
      </c>
      <c r="AK242" s="47" t="s">
        <v>59</v>
      </c>
      <c r="AL242" s="47" t="s">
        <v>59</v>
      </c>
      <c r="AM242" s="47" t="s">
        <v>99</v>
      </c>
      <c r="AN242" s="47" t="s">
        <v>80</v>
      </c>
      <c r="AO242" s="47"/>
      <c r="AP242" s="47"/>
      <c r="AQ242" s="47" t="s">
        <v>81</v>
      </c>
      <c r="AR242" s="47"/>
      <c r="AS242" s="47" t="s">
        <v>142</v>
      </c>
      <c r="AT242" s="47" t="s">
        <v>327</v>
      </c>
      <c r="AU242" s="47" t="s">
        <v>83</v>
      </c>
      <c r="AV242" s="47" t="s">
        <v>425</v>
      </c>
      <c r="AW242" s="47" t="s">
        <v>686</v>
      </c>
      <c r="AX242" s="47" t="s">
        <v>787</v>
      </c>
      <c r="AY242" s="49">
        <v>42569</v>
      </c>
      <c r="AZ242" s="47" t="s">
        <v>80</v>
      </c>
      <c r="BA242" s="47" t="s">
        <v>2071</v>
      </c>
      <c r="BB242" s="47" t="s">
        <v>2358</v>
      </c>
      <c r="BC242" s="47" t="s">
        <v>2542</v>
      </c>
      <c r="BD242" s="47">
        <v>526654330</v>
      </c>
      <c r="BE242" s="47">
        <v>14497</v>
      </c>
      <c r="BF242" s="53">
        <v>1186668</v>
      </c>
    </row>
    <row r="243" spans="1:58" s="51" customFormat="1" ht="23.4" hidden="1" x14ac:dyDescent="0.25">
      <c r="A243" s="46">
        <v>242</v>
      </c>
      <c r="B243" s="47">
        <v>10086</v>
      </c>
      <c r="C243" s="47"/>
      <c r="D243" s="47" t="s">
        <v>2072</v>
      </c>
      <c r="E243" s="47" t="s">
        <v>86</v>
      </c>
      <c r="F243" s="47" t="s">
        <v>2073</v>
      </c>
      <c r="G243" s="47" t="str">
        <f>CONCATENATE(TRIM(الجدول2[[#This Row],[الاسم الأول]])," ",TRIM(الجدول2[[#This Row],[اسم الأب]])," ",TRIM(الجدول2[[#This Row],[الكنية]]))</f>
        <v>هدى احمد خدام</v>
      </c>
      <c r="H243" s="47" t="s">
        <v>2074</v>
      </c>
      <c r="I243" s="48" t="s">
        <v>2075</v>
      </c>
      <c r="J243" s="47" t="s">
        <v>58</v>
      </c>
      <c r="K243" s="47" t="s">
        <v>59</v>
      </c>
      <c r="L243" s="47" t="s">
        <v>164</v>
      </c>
      <c r="M243" s="47" t="s">
        <v>165</v>
      </c>
      <c r="N243" s="47" t="s">
        <v>1709</v>
      </c>
      <c r="O243" s="49">
        <v>31873</v>
      </c>
      <c r="P243" s="47" t="s">
        <v>2076</v>
      </c>
      <c r="Q243" s="47" t="s">
        <v>179</v>
      </c>
      <c r="R243" s="48" t="s">
        <v>2077</v>
      </c>
      <c r="S243" s="47" t="s">
        <v>65</v>
      </c>
      <c r="T243" s="47"/>
      <c r="U243" s="47"/>
      <c r="V243" s="47" t="s">
        <v>66</v>
      </c>
      <c r="W243" s="47" t="s">
        <v>67</v>
      </c>
      <c r="X243" s="47" t="s">
        <v>68</v>
      </c>
      <c r="Y243" s="47" t="s">
        <v>797</v>
      </c>
      <c r="Z243" s="47"/>
      <c r="AA243" s="47"/>
      <c r="AB243" s="47" t="s">
        <v>212</v>
      </c>
      <c r="AC243" s="47" t="s">
        <v>155</v>
      </c>
      <c r="AD243" s="47" t="s">
        <v>74</v>
      </c>
      <c r="AE243" s="49">
        <v>44054</v>
      </c>
      <c r="AF243" s="47" t="s">
        <v>156</v>
      </c>
      <c r="AG243" s="47"/>
      <c r="AH243" s="47" t="s">
        <v>140</v>
      </c>
      <c r="AI243" s="47" t="s">
        <v>143</v>
      </c>
      <c r="AJ243" s="47"/>
      <c r="AK243" s="47" t="s">
        <v>59</v>
      </c>
      <c r="AL243" s="47" t="s">
        <v>164</v>
      </c>
      <c r="AM243" s="47" t="s">
        <v>99</v>
      </c>
      <c r="AN243" s="47" t="s">
        <v>80</v>
      </c>
      <c r="AO243" s="47"/>
      <c r="AP243" s="47"/>
      <c r="AQ243" s="47" t="s">
        <v>81</v>
      </c>
      <c r="AR243" s="47"/>
      <c r="AS243" s="47" t="s">
        <v>82</v>
      </c>
      <c r="AT243" s="47" t="s">
        <v>143</v>
      </c>
      <c r="AU243" s="47" t="s">
        <v>83</v>
      </c>
      <c r="AV243" s="47"/>
      <c r="AW243" s="47"/>
      <c r="AX243" s="47"/>
      <c r="AY243" s="49">
        <v>37099</v>
      </c>
      <c r="AZ243" s="47" t="s">
        <v>80</v>
      </c>
      <c r="BA243" s="47"/>
      <c r="BB243" s="47" t="s">
        <v>2359</v>
      </c>
      <c r="BC243" s="47" t="s">
        <v>2542</v>
      </c>
      <c r="BD243" s="47">
        <v>526080580</v>
      </c>
      <c r="BE243" s="47">
        <v>10685</v>
      </c>
      <c r="BF243" s="53">
        <v>994128</v>
      </c>
    </row>
    <row r="244" spans="1:58" s="51" customFormat="1" ht="23.4" hidden="1" x14ac:dyDescent="0.25">
      <c r="A244" s="46">
        <v>243</v>
      </c>
      <c r="B244" s="47">
        <v>10132</v>
      </c>
      <c r="C244" s="47">
        <v>1135014</v>
      </c>
      <c r="D244" s="47" t="s">
        <v>2078</v>
      </c>
      <c r="E244" s="47" t="s">
        <v>116</v>
      </c>
      <c r="F244" s="47" t="s">
        <v>2079</v>
      </c>
      <c r="G244" s="47" t="str">
        <f>CONCATENATE(TRIM(الجدول2[[#This Row],[الاسم الأول]])," ",TRIM(الجدول2[[#This Row],[اسم الأب]])," ",TRIM(الجدول2[[#This Row],[الكنية]]))</f>
        <v>هلال يوسف شليحه</v>
      </c>
      <c r="H244" s="47" t="s">
        <v>2080</v>
      </c>
      <c r="I244" s="48" t="s">
        <v>2081</v>
      </c>
      <c r="J244" s="47" t="s">
        <v>58</v>
      </c>
      <c r="K244" s="47" t="s">
        <v>361</v>
      </c>
      <c r="L244" s="47" t="s">
        <v>362</v>
      </c>
      <c r="M244" s="47" t="s">
        <v>363</v>
      </c>
      <c r="N244" s="47" t="s">
        <v>362</v>
      </c>
      <c r="O244" s="49">
        <v>28680</v>
      </c>
      <c r="P244" s="47" t="s">
        <v>2082</v>
      </c>
      <c r="Q244" s="47" t="s">
        <v>63</v>
      </c>
      <c r="R244" s="48" t="s">
        <v>2083</v>
      </c>
      <c r="S244" s="47" t="s">
        <v>109</v>
      </c>
      <c r="T244" s="47">
        <v>1</v>
      </c>
      <c r="U244" s="47">
        <v>3</v>
      </c>
      <c r="V244" s="47" t="s">
        <v>66</v>
      </c>
      <c r="W244" s="47" t="s">
        <v>67</v>
      </c>
      <c r="X244" s="58" t="s">
        <v>68</v>
      </c>
      <c r="Y244" s="58" t="s">
        <v>246</v>
      </c>
      <c r="Z244" s="47" t="s">
        <v>247</v>
      </c>
      <c r="AA244" s="47" t="s">
        <v>248</v>
      </c>
      <c r="AB244" s="47" t="s">
        <v>249</v>
      </c>
      <c r="AC244" s="47" t="s">
        <v>73</v>
      </c>
      <c r="AD244" s="47" t="s">
        <v>74</v>
      </c>
      <c r="AE244" s="49">
        <v>38738</v>
      </c>
      <c r="AF244" s="47" t="s">
        <v>139</v>
      </c>
      <c r="AG244" s="47"/>
      <c r="AH244" s="47" t="s">
        <v>140</v>
      </c>
      <c r="AI244" s="47" t="s">
        <v>250</v>
      </c>
      <c r="AJ244" s="47"/>
      <c r="AK244" s="47" t="s">
        <v>59</v>
      </c>
      <c r="AL244" s="47" t="s">
        <v>59</v>
      </c>
      <c r="AM244" s="47" t="s">
        <v>99</v>
      </c>
      <c r="AN244" s="47" t="s">
        <v>80</v>
      </c>
      <c r="AO244" s="47"/>
      <c r="AP244" s="47"/>
      <c r="AQ244" s="47" t="s">
        <v>81</v>
      </c>
      <c r="AR244" s="47"/>
      <c r="AS244" s="47" t="s">
        <v>82</v>
      </c>
      <c r="AT244" s="47" t="s">
        <v>250</v>
      </c>
      <c r="AU244" s="47"/>
      <c r="AV244" s="47"/>
      <c r="AW244" s="47"/>
      <c r="AX244" s="47"/>
      <c r="AY244" s="49"/>
      <c r="AZ244" s="47" t="s">
        <v>80</v>
      </c>
      <c r="BA244" s="47"/>
      <c r="BB244" s="47" t="s">
        <v>2359</v>
      </c>
      <c r="BC244" s="47" t="s">
        <v>2542</v>
      </c>
      <c r="BD244" s="47">
        <v>526460092</v>
      </c>
      <c r="BE244" s="47">
        <v>12258</v>
      </c>
      <c r="BF244" s="53">
        <v>1185000</v>
      </c>
    </row>
    <row r="245" spans="1:58" s="51" customFormat="1" ht="23.4" hidden="1" x14ac:dyDescent="0.25">
      <c r="A245" s="46">
        <v>244</v>
      </c>
      <c r="B245" s="47">
        <v>10163</v>
      </c>
      <c r="C245" s="47">
        <v>1634555</v>
      </c>
      <c r="D245" s="47" t="s">
        <v>2084</v>
      </c>
      <c r="E245" s="47" t="s">
        <v>1104</v>
      </c>
      <c r="F245" s="47" t="s">
        <v>131</v>
      </c>
      <c r="G245" s="47" t="str">
        <f>CONCATENATE(TRIM(الجدول2[[#This Row],[الاسم الأول]])," ",TRIM(الجدول2[[#This Row],[اسم الأب]])," ",TRIM(الجدول2[[#This Row],[الكنية]]))</f>
        <v>هنادي عبداللطيف علي</v>
      </c>
      <c r="H245" s="47" t="s">
        <v>2085</v>
      </c>
      <c r="I245" s="48" t="s">
        <v>2086</v>
      </c>
      <c r="J245" s="47" t="s">
        <v>58</v>
      </c>
      <c r="K245" s="47" t="s">
        <v>59</v>
      </c>
      <c r="L245" s="47" t="s">
        <v>164</v>
      </c>
      <c r="M245" s="47" t="s">
        <v>766</v>
      </c>
      <c r="N245" s="47" t="s">
        <v>2087</v>
      </c>
      <c r="O245" s="49">
        <v>36069</v>
      </c>
      <c r="P245" s="47" t="s">
        <v>2088</v>
      </c>
      <c r="Q245" s="47" t="s">
        <v>179</v>
      </c>
      <c r="R245" s="48" t="s">
        <v>2089</v>
      </c>
      <c r="S245" s="47" t="s">
        <v>65</v>
      </c>
      <c r="T245" s="47"/>
      <c r="U245" s="47"/>
      <c r="V245" s="47" t="s">
        <v>66</v>
      </c>
      <c r="W245" s="47" t="s">
        <v>67</v>
      </c>
      <c r="X245" s="47" t="s">
        <v>68</v>
      </c>
      <c r="Y245" s="47" t="s">
        <v>69</v>
      </c>
      <c r="Z245" s="47" t="s">
        <v>70</v>
      </c>
      <c r="AA245" s="47" t="s">
        <v>2090</v>
      </c>
      <c r="AB245" s="47" t="s">
        <v>72</v>
      </c>
      <c r="AC245" s="47" t="s">
        <v>73</v>
      </c>
      <c r="AD245" s="47" t="s">
        <v>74</v>
      </c>
      <c r="AE245" s="49">
        <v>45525</v>
      </c>
      <c r="AF245" s="47" t="s">
        <v>75</v>
      </c>
      <c r="AG245" s="47"/>
      <c r="AH245" s="47" t="s">
        <v>2277</v>
      </c>
      <c r="AI245" s="47" t="s">
        <v>76</v>
      </c>
      <c r="AJ245" s="47" t="s">
        <v>85</v>
      </c>
      <c r="AK245" s="47" t="s">
        <v>59</v>
      </c>
      <c r="AL245" s="47" t="s">
        <v>59</v>
      </c>
      <c r="AM245" s="47" t="s">
        <v>79</v>
      </c>
      <c r="AN245" s="47" t="s">
        <v>80</v>
      </c>
      <c r="AO245" s="47"/>
      <c r="AP245" s="47"/>
      <c r="AQ245" s="47" t="s">
        <v>81</v>
      </c>
      <c r="AR245" s="47"/>
      <c r="AS245" s="47" t="s">
        <v>446</v>
      </c>
      <c r="AT245" s="47" t="s">
        <v>76</v>
      </c>
      <c r="AU245" s="47" t="s">
        <v>83</v>
      </c>
      <c r="AV245" s="47" t="s">
        <v>361</v>
      </c>
      <c r="AW245" s="47" t="s">
        <v>77</v>
      </c>
      <c r="AX245" s="47" t="s">
        <v>1706</v>
      </c>
      <c r="AY245" s="49">
        <v>44180</v>
      </c>
      <c r="AZ245" s="47" t="s">
        <v>80</v>
      </c>
      <c r="BA245" s="47"/>
      <c r="BB245" s="47" t="s">
        <v>2359</v>
      </c>
      <c r="BC245" s="47" t="s">
        <v>2542</v>
      </c>
      <c r="BD245" s="47">
        <v>524090101</v>
      </c>
      <c r="BE245" s="47">
        <v>6015</v>
      </c>
      <c r="BF245" s="53">
        <v>943000</v>
      </c>
    </row>
    <row r="246" spans="1:58" s="51" customFormat="1" ht="23.4" hidden="1" x14ac:dyDescent="0.25">
      <c r="A246" s="46">
        <v>245</v>
      </c>
      <c r="B246" s="47">
        <v>10173</v>
      </c>
      <c r="C246" s="47"/>
      <c r="D246" s="47" t="s">
        <v>531</v>
      </c>
      <c r="E246" s="47" t="s">
        <v>101</v>
      </c>
      <c r="F246" s="47" t="s">
        <v>2091</v>
      </c>
      <c r="G246" s="47" t="str">
        <f>CONCATENATE(TRIM(الجدول2[[#This Row],[الاسم الأول]])," ",TRIM(الجدول2[[#This Row],[اسم الأب]])," ",TRIM(الجدول2[[#This Row],[الكنية]]))</f>
        <v>هند كامل زيدان</v>
      </c>
      <c r="H246" s="47" t="s">
        <v>2092</v>
      </c>
      <c r="I246" s="48" t="s">
        <v>2093</v>
      </c>
      <c r="J246" s="47" t="s">
        <v>58</v>
      </c>
      <c r="K246" s="47" t="s">
        <v>59</v>
      </c>
      <c r="L246" s="47" t="s">
        <v>164</v>
      </c>
      <c r="M246" s="47" t="s">
        <v>766</v>
      </c>
      <c r="N246" s="47" t="s">
        <v>2094</v>
      </c>
      <c r="O246" s="49">
        <v>29407</v>
      </c>
      <c r="P246" s="47" t="s">
        <v>2095</v>
      </c>
      <c r="Q246" s="47" t="s">
        <v>179</v>
      </c>
      <c r="R246" s="48" t="s">
        <v>2096</v>
      </c>
      <c r="S246" s="47" t="s">
        <v>65</v>
      </c>
      <c r="T246" s="47"/>
      <c r="U246" s="47"/>
      <c r="V246" s="47" t="s">
        <v>66</v>
      </c>
      <c r="W246" s="47" t="s">
        <v>67</v>
      </c>
      <c r="X246" s="47" t="s">
        <v>68</v>
      </c>
      <c r="Y246" s="47" t="s">
        <v>137</v>
      </c>
      <c r="Z246" s="54"/>
      <c r="AA246" s="47"/>
      <c r="AB246" s="47" t="s">
        <v>289</v>
      </c>
      <c r="AC246" s="47" t="s">
        <v>73</v>
      </c>
      <c r="AD246" s="47" t="s">
        <v>74</v>
      </c>
      <c r="AE246" s="49">
        <v>39237</v>
      </c>
      <c r="AF246" s="47" t="s">
        <v>123</v>
      </c>
      <c r="AG246" s="47"/>
      <c r="AH246" s="47" t="s">
        <v>140</v>
      </c>
      <c r="AI246" s="47" t="s">
        <v>143</v>
      </c>
      <c r="AJ246" s="47"/>
      <c r="AK246" s="47" t="s">
        <v>59</v>
      </c>
      <c r="AL246" s="47" t="s">
        <v>164</v>
      </c>
      <c r="AM246" s="47" t="s">
        <v>99</v>
      </c>
      <c r="AN246" s="47" t="s">
        <v>80</v>
      </c>
      <c r="AO246" s="47"/>
      <c r="AP246" s="47"/>
      <c r="AQ246" s="47" t="s">
        <v>81</v>
      </c>
      <c r="AR246" s="47"/>
      <c r="AS246" s="47" t="s">
        <v>173</v>
      </c>
      <c r="AT246" s="47" t="s">
        <v>143</v>
      </c>
      <c r="AU246" s="47" t="s">
        <v>83</v>
      </c>
      <c r="AV246" s="47"/>
      <c r="AW246" s="47"/>
      <c r="AX246" s="47"/>
      <c r="AY246" s="49">
        <v>34833</v>
      </c>
      <c r="AZ246" s="47" t="s">
        <v>80</v>
      </c>
      <c r="BA246" s="47" t="s">
        <v>2097</v>
      </c>
      <c r="BB246" s="47" t="s">
        <v>2358</v>
      </c>
      <c r="BC246" s="47" t="s">
        <v>2542</v>
      </c>
      <c r="BD246" s="47">
        <v>528004735</v>
      </c>
      <c r="BE246" s="47">
        <v>21506</v>
      </c>
      <c r="BF246" s="53">
        <v>1097700</v>
      </c>
    </row>
    <row r="247" spans="1:58" s="51" customFormat="1" ht="23.4" hidden="1" x14ac:dyDescent="0.25">
      <c r="A247" s="46">
        <v>246</v>
      </c>
      <c r="B247" s="47">
        <v>10234</v>
      </c>
      <c r="C247" s="47"/>
      <c r="D247" s="47" t="s">
        <v>1340</v>
      </c>
      <c r="E247" s="47" t="s">
        <v>2098</v>
      </c>
      <c r="F247" s="47" t="s">
        <v>2099</v>
      </c>
      <c r="G247" s="47" t="str">
        <f>CONCATENATE(TRIM(الجدول2[[#This Row],[الاسم الأول]])," ",TRIM(الجدول2[[#This Row],[اسم الأب]])," ",TRIM(الجدول2[[#This Row],[الكنية]]))</f>
        <v>هيثم نزيه ناصر</v>
      </c>
      <c r="H247" s="47" t="s">
        <v>2100</v>
      </c>
      <c r="I247" s="48" t="s">
        <v>2101</v>
      </c>
      <c r="J247" s="47" t="s">
        <v>58</v>
      </c>
      <c r="K247" s="47" t="s">
        <v>59</v>
      </c>
      <c r="L247" s="47" t="s">
        <v>90</v>
      </c>
      <c r="M247" s="47" t="s">
        <v>298</v>
      </c>
      <c r="N247" s="47" t="s">
        <v>2102</v>
      </c>
      <c r="O247" s="49">
        <v>27290</v>
      </c>
      <c r="P247" s="47" t="s">
        <v>2103</v>
      </c>
      <c r="Q247" s="47" t="s">
        <v>63</v>
      </c>
      <c r="R247" s="48" t="s">
        <v>2104</v>
      </c>
      <c r="S247" s="47" t="s">
        <v>109</v>
      </c>
      <c r="T247" s="47">
        <v>1</v>
      </c>
      <c r="U247" s="47">
        <v>2</v>
      </c>
      <c r="V247" s="47" t="s">
        <v>66</v>
      </c>
      <c r="W247" s="47" t="s">
        <v>67</v>
      </c>
      <c r="X247" s="47" t="s">
        <v>68</v>
      </c>
      <c r="Y247" s="47" t="s">
        <v>94</v>
      </c>
      <c r="Z247" s="47" t="s">
        <v>221</v>
      </c>
      <c r="AA247" s="47"/>
      <c r="AB247" s="47" t="s">
        <v>223</v>
      </c>
      <c r="AC247" s="47" t="s">
        <v>155</v>
      </c>
      <c r="AD247" s="47" t="s">
        <v>74</v>
      </c>
      <c r="AE247" s="49">
        <v>40463</v>
      </c>
      <c r="AF247" s="47" t="s">
        <v>123</v>
      </c>
      <c r="AG247" s="47"/>
      <c r="AH247" s="47" t="s">
        <v>157</v>
      </c>
      <c r="AI247" s="47" t="s">
        <v>143</v>
      </c>
      <c r="AJ247" s="47"/>
      <c r="AK247" s="47" t="s">
        <v>59</v>
      </c>
      <c r="AL247" s="47" t="s">
        <v>90</v>
      </c>
      <c r="AM247" s="47" t="s">
        <v>99</v>
      </c>
      <c r="AN247" s="47" t="s">
        <v>83</v>
      </c>
      <c r="AO247" s="47" t="s">
        <v>2105</v>
      </c>
      <c r="AP247" s="47" t="s">
        <v>1163</v>
      </c>
      <c r="AQ247" s="47" t="s">
        <v>81</v>
      </c>
      <c r="AR247" s="47"/>
      <c r="AS247" s="47" t="s">
        <v>173</v>
      </c>
      <c r="AT247" s="47" t="s">
        <v>143</v>
      </c>
      <c r="AU247" s="47" t="s">
        <v>83</v>
      </c>
      <c r="AV247" s="47"/>
      <c r="AW247" s="47"/>
      <c r="AX247" s="47"/>
      <c r="AY247" s="49">
        <v>33081</v>
      </c>
      <c r="AZ247" s="47" t="s">
        <v>80</v>
      </c>
      <c r="BA247" s="47"/>
      <c r="BB247" s="47" t="s">
        <v>2359</v>
      </c>
      <c r="BC247" s="47" t="s">
        <v>2542</v>
      </c>
      <c r="BD247" s="47">
        <v>526074251</v>
      </c>
      <c r="BE247" s="47">
        <v>10562</v>
      </c>
      <c r="BF247" s="53">
        <v>1185000</v>
      </c>
    </row>
    <row r="248" spans="1:58" s="51" customFormat="1" ht="23.4" hidden="1" x14ac:dyDescent="0.25">
      <c r="A248" s="46">
        <v>247</v>
      </c>
      <c r="B248" s="47">
        <v>10288</v>
      </c>
      <c r="C248" s="47">
        <v>1058290</v>
      </c>
      <c r="D248" s="47" t="s">
        <v>2106</v>
      </c>
      <c r="E248" s="47" t="s">
        <v>115</v>
      </c>
      <c r="F248" s="47" t="s">
        <v>2107</v>
      </c>
      <c r="G248" s="47" t="str">
        <f>CONCATENATE(TRIM(الجدول2[[#This Row],[الاسم الأول]])," ",TRIM(الجدول2[[#This Row],[اسم الأب]])," ",TRIM(الجدول2[[#This Row],[الكنية]]))</f>
        <v>وائل محمد المقدم</v>
      </c>
      <c r="H248" s="47" t="s">
        <v>2108</v>
      </c>
      <c r="I248" s="48" t="s">
        <v>2109</v>
      </c>
      <c r="J248" s="47" t="s">
        <v>58</v>
      </c>
      <c r="K248" s="47" t="s">
        <v>59</v>
      </c>
      <c r="L248" s="47" t="s">
        <v>59</v>
      </c>
      <c r="M248" s="47" t="s">
        <v>406</v>
      </c>
      <c r="N248" s="47" t="s">
        <v>2110</v>
      </c>
      <c r="O248" s="49">
        <v>27700</v>
      </c>
      <c r="P248" s="47" t="s">
        <v>2111</v>
      </c>
      <c r="Q248" s="47" t="s">
        <v>63</v>
      </c>
      <c r="R248" s="48" t="s">
        <v>2112</v>
      </c>
      <c r="S248" s="47" t="s">
        <v>109</v>
      </c>
      <c r="T248" s="47">
        <v>1</v>
      </c>
      <c r="U248" s="47">
        <v>2</v>
      </c>
      <c r="V248" s="47" t="s">
        <v>66</v>
      </c>
      <c r="W248" s="47" t="s">
        <v>67</v>
      </c>
      <c r="X248" s="47" t="s">
        <v>68</v>
      </c>
      <c r="Y248" s="47" t="s">
        <v>953</v>
      </c>
      <c r="Z248" s="47"/>
      <c r="AA248" s="47"/>
      <c r="AB248" s="47" t="s">
        <v>2113</v>
      </c>
      <c r="AC248" s="47" t="s">
        <v>73</v>
      </c>
      <c r="AD248" s="47" t="s">
        <v>74</v>
      </c>
      <c r="AE248" s="49">
        <v>36241</v>
      </c>
      <c r="AF248" s="47" t="s">
        <v>75</v>
      </c>
      <c r="AG248" s="47"/>
      <c r="AH248" s="47" t="s">
        <v>2277</v>
      </c>
      <c r="AI248" s="47" t="s">
        <v>76</v>
      </c>
      <c r="AJ248" s="47" t="s">
        <v>277</v>
      </c>
      <c r="AK248" s="47" t="s">
        <v>59</v>
      </c>
      <c r="AL248" s="47" t="s">
        <v>59</v>
      </c>
      <c r="AM248" s="47" t="s">
        <v>99</v>
      </c>
      <c r="AN248" s="47" t="s">
        <v>83</v>
      </c>
      <c r="AO248" s="47" t="s">
        <v>2114</v>
      </c>
      <c r="AP248" s="47" t="s">
        <v>650</v>
      </c>
      <c r="AQ248" s="47" t="s">
        <v>81</v>
      </c>
      <c r="AR248" s="47"/>
      <c r="AS248" s="47" t="s">
        <v>82</v>
      </c>
      <c r="AT248" s="47" t="s">
        <v>76</v>
      </c>
      <c r="AU248" s="47" t="s">
        <v>83</v>
      </c>
      <c r="AV248" s="47" t="s">
        <v>84</v>
      </c>
      <c r="AW248" s="47" t="s">
        <v>277</v>
      </c>
      <c r="AX248" s="47" t="s">
        <v>2115</v>
      </c>
      <c r="AY248" s="49">
        <v>39797</v>
      </c>
      <c r="AZ248" s="47" t="s">
        <v>83</v>
      </c>
      <c r="BA248" s="47"/>
      <c r="BB248" s="47" t="s">
        <v>2359</v>
      </c>
      <c r="BC248" s="47" t="s">
        <v>2542</v>
      </c>
      <c r="BD248" s="47">
        <v>522422232</v>
      </c>
      <c r="BE248" s="47">
        <v>1150</v>
      </c>
      <c r="BF248" s="53">
        <v>1409000</v>
      </c>
    </row>
    <row r="249" spans="1:58" s="51" customFormat="1" ht="23.4" hidden="1" x14ac:dyDescent="0.25">
      <c r="A249" s="46">
        <v>248</v>
      </c>
      <c r="B249" s="47">
        <v>10314</v>
      </c>
      <c r="C249" s="47">
        <v>1632697</v>
      </c>
      <c r="D249" s="47" t="s">
        <v>2116</v>
      </c>
      <c r="E249" s="47" t="s">
        <v>131</v>
      </c>
      <c r="F249" s="47" t="s">
        <v>2117</v>
      </c>
      <c r="G249" s="47" t="str">
        <f>CONCATENATE(TRIM(الجدول2[[#This Row],[الاسم الأول]])," ",TRIM(الجدول2[[#This Row],[اسم الأب]])," ",TRIM(الجدول2[[#This Row],[الكنية]]))</f>
        <v>وجيه علي ضوا</v>
      </c>
      <c r="H249" s="47" t="s">
        <v>2118</v>
      </c>
      <c r="I249" s="48" t="s">
        <v>2119</v>
      </c>
      <c r="J249" s="47" t="s">
        <v>58</v>
      </c>
      <c r="K249" s="47" t="s">
        <v>59</v>
      </c>
      <c r="L249" s="47" t="s">
        <v>78</v>
      </c>
      <c r="M249" s="47" t="s">
        <v>570</v>
      </c>
      <c r="N249" s="47" t="s">
        <v>2120</v>
      </c>
      <c r="O249" s="49">
        <v>30878</v>
      </c>
      <c r="P249" s="47" t="s">
        <v>2121</v>
      </c>
      <c r="Q249" s="47" t="s">
        <v>63</v>
      </c>
      <c r="R249" s="48"/>
      <c r="S249" s="47" t="s">
        <v>109</v>
      </c>
      <c r="T249" s="47">
        <v>1</v>
      </c>
      <c r="U249" s="47">
        <v>2</v>
      </c>
      <c r="V249" s="47" t="s">
        <v>66</v>
      </c>
      <c r="W249" s="47" t="s">
        <v>67</v>
      </c>
      <c r="X249" s="47" t="s">
        <v>68</v>
      </c>
      <c r="Y249" s="47" t="s">
        <v>137</v>
      </c>
      <c r="Z249" s="47"/>
      <c r="AA249" s="47"/>
      <c r="AB249" s="47" t="s">
        <v>491</v>
      </c>
      <c r="AC249" s="47" t="s">
        <v>73</v>
      </c>
      <c r="AD249" s="47" t="s">
        <v>74</v>
      </c>
      <c r="AE249" s="49">
        <v>41294</v>
      </c>
      <c r="AF249" s="47" t="s">
        <v>123</v>
      </c>
      <c r="AG249" s="47"/>
      <c r="AH249" s="47" t="s">
        <v>1007</v>
      </c>
      <c r="AI249" s="47" t="s">
        <v>143</v>
      </c>
      <c r="AJ249" s="47"/>
      <c r="AK249" s="47" t="s">
        <v>59</v>
      </c>
      <c r="AL249" s="47" t="s">
        <v>78</v>
      </c>
      <c r="AM249" s="47" t="s">
        <v>99</v>
      </c>
      <c r="AN249" s="47" t="s">
        <v>80</v>
      </c>
      <c r="AO249" s="47"/>
      <c r="AP249" s="47"/>
      <c r="AQ249" s="47" t="s">
        <v>81</v>
      </c>
      <c r="AR249" s="47"/>
      <c r="AS249" s="47"/>
      <c r="AT249" s="47" t="s">
        <v>143</v>
      </c>
      <c r="AU249" s="47" t="s">
        <v>83</v>
      </c>
      <c r="AV249" s="47"/>
      <c r="AW249" s="47"/>
      <c r="AX249" s="47"/>
      <c r="AY249" s="49">
        <v>36342</v>
      </c>
      <c r="AZ249" s="47" t="s">
        <v>80</v>
      </c>
      <c r="BA249" s="47" t="s">
        <v>2122</v>
      </c>
      <c r="BB249" s="47" t="s">
        <v>2358</v>
      </c>
      <c r="BC249" s="47" t="s">
        <v>2542</v>
      </c>
      <c r="BD249" s="47">
        <v>528191893</v>
      </c>
      <c r="BE249" s="47">
        <v>23488</v>
      </c>
      <c r="BF249" s="53">
        <v>1185000</v>
      </c>
    </row>
    <row r="250" spans="1:58" s="51" customFormat="1" ht="23.4" hidden="1" x14ac:dyDescent="0.25">
      <c r="A250" s="46">
        <v>249</v>
      </c>
      <c r="B250" s="47">
        <v>45841</v>
      </c>
      <c r="C250" s="47">
        <v>1632634</v>
      </c>
      <c r="D250" s="47" t="s">
        <v>2123</v>
      </c>
      <c r="E250" s="47" t="s">
        <v>131</v>
      </c>
      <c r="F250" s="47" t="s">
        <v>131</v>
      </c>
      <c r="G250" s="47" t="str">
        <f>CONCATENATE(TRIM(الجدول2[[#This Row],[الاسم الأول]])," ",TRIM(الجدول2[[#This Row],[اسم الأب]])," ",TRIM(الجدول2[[#This Row],[الكنية]]))</f>
        <v>وسام علي علي</v>
      </c>
      <c r="H250" s="47" t="s">
        <v>2124</v>
      </c>
      <c r="I250" s="48" t="s">
        <v>2125</v>
      </c>
      <c r="J250" s="47" t="s">
        <v>58</v>
      </c>
      <c r="K250" s="47" t="s">
        <v>59</v>
      </c>
      <c r="L250" s="47" t="s">
        <v>90</v>
      </c>
      <c r="M250" s="47" t="s">
        <v>629</v>
      </c>
      <c r="N250" s="47" t="s">
        <v>2126</v>
      </c>
      <c r="O250" s="49">
        <v>31686</v>
      </c>
      <c r="P250" s="47" t="s">
        <v>2127</v>
      </c>
      <c r="Q250" s="47" t="s">
        <v>63</v>
      </c>
      <c r="R250" s="48" t="s">
        <v>2128</v>
      </c>
      <c r="S250" s="47" t="s">
        <v>109</v>
      </c>
      <c r="T250" s="47">
        <v>1</v>
      </c>
      <c r="U250" s="47">
        <v>2</v>
      </c>
      <c r="V250" s="47" t="s">
        <v>66</v>
      </c>
      <c r="W250" s="47" t="s">
        <v>67</v>
      </c>
      <c r="X250" s="47" t="s">
        <v>68</v>
      </c>
      <c r="Y250" s="47" t="s">
        <v>137</v>
      </c>
      <c r="Z250" s="47"/>
      <c r="AA250" s="47"/>
      <c r="AB250" s="47" t="s">
        <v>491</v>
      </c>
      <c r="AC250" s="47" t="s">
        <v>73</v>
      </c>
      <c r="AD250" s="47" t="s">
        <v>74</v>
      </c>
      <c r="AE250" s="49">
        <v>41294</v>
      </c>
      <c r="AF250" s="47" t="s">
        <v>123</v>
      </c>
      <c r="AG250" s="47"/>
      <c r="AH250" s="47" t="s">
        <v>2277</v>
      </c>
      <c r="AI250" s="47" t="s">
        <v>327</v>
      </c>
      <c r="AJ250" s="47" t="s">
        <v>686</v>
      </c>
      <c r="AK250" s="47" t="s">
        <v>59</v>
      </c>
      <c r="AL250" s="47" t="s">
        <v>59</v>
      </c>
      <c r="AM250" s="47" t="s">
        <v>79</v>
      </c>
      <c r="AN250" s="47" t="s">
        <v>80</v>
      </c>
      <c r="AO250" s="47"/>
      <c r="AP250" s="47"/>
      <c r="AQ250" s="47" t="s">
        <v>81</v>
      </c>
      <c r="AR250" s="47"/>
      <c r="AS250" s="47" t="s">
        <v>173</v>
      </c>
      <c r="AT250" s="47" t="s">
        <v>327</v>
      </c>
      <c r="AU250" s="47" t="s">
        <v>83</v>
      </c>
      <c r="AV250" s="47" t="s">
        <v>61</v>
      </c>
      <c r="AW250" s="47" t="s">
        <v>686</v>
      </c>
      <c r="AX250" s="47" t="s">
        <v>686</v>
      </c>
      <c r="AY250" s="49">
        <v>41120</v>
      </c>
      <c r="AZ250" s="47" t="s">
        <v>80</v>
      </c>
      <c r="BA250" s="47" t="s">
        <v>2129</v>
      </c>
      <c r="BB250" s="47" t="s">
        <v>2358</v>
      </c>
      <c r="BC250" s="47" t="s">
        <v>2542</v>
      </c>
      <c r="BD250" s="47">
        <v>528089697</v>
      </c>
      <c r="BE250" s="47">
        <v>22233</v>
      </c>
      <c r="BF250" s="53">
        <v>1322775</v>
      </c>
    </row>
    <row r="251" spans="1:58" s="51" customFormat="1" ht="23.4" hidden="1" x14ac:dyDescent="0.25">
      <c r="A251" s="46">
        <v>250</v>
      </c>
      <c r="B251" s="47">
        <v>10346</v>
      </c>
      <c r="C251" s="47">
        <v>1631606</v>
      </c>
      <c r="D251" s="47" t="s">
        <v>2123</v>
      </c>
      <c r="E251" s="47" t="s">
        <v>751</v>
      </c>
      <c r="F251" s="47" t="s">
        <v>86</v>
      </c>
      <c r="G251" s="47" t="str">
        <f>CONCATENATE(TRIM(الجدول2[[#This Row],[الاسم الأول]])," ",TRIM(الجدول2[[#This Row],[اسم الأب]])," ",TRIM(الجدول2[[#This Row],[الكنية]]))</f>
        <v>وسام محرز احمد</v>
      </c>
      <c r="H251" s="47" t="s">
        <v>2130</v>
      </c>
      <c r="I251" s="48" t="s">
        <v>2131</v>
      </c>
      <c r="J251" s="47" t="s">
        <v>58</v>
      </c>
      <c r="K251" s="47" t="s">
        <v>59</v>
      </c>
      <c r="L251" s="47" t="s">
        <v>59</v>
      </c>
      <c r="M251" s="47" t="s">
        <v>60</v>
      </c>
      <c r="N251" s="47" t="s">
        <v>61</v>
      </c>
      <c r="O251" s="49">
        <v>28664</v>
      </c>
      <c r="P251" s="47" t="s">
        <v>2132</v>
      </c>
      <c r="Q251" s="47" t="s">
        <v>179</v>
      </c>
      <c r="R251" s="48" t="s">
        <v>2133</v>
      </c>
      <c r="S251" s="47" t="s">
        <v>109</v>
      </c>
      <c r="T251" s="47"/>
      <c r="U251" s="47">
        <v>2</v>
      </c>
      <c r="V251" s="47" t="s">
        <v>66</v>
      </c>
      <c r="W251" s="47" t="s">
        <v>67</v>
      </c>
      <c r="X251" s="47" t="s">
        <v>68</v>
      </c>
      <c r="Y251" s="47" t="s">
        <v>137</v>
      </c>
      <c r="Z251" s="47"/>
      <c r="AA251" s="47"/>
      <c r="AB251" s="47" t="s">
        <v>2134</v>
      </c>
      <c r="AC251" s="47" t="s">
        <v>73</v>
      </c>
      <c r="AD251" s="47" t="s">
        <v>74</v>
      </c>
      <c r="AE251" s="49">
        <v>41297</v>
      </c>
      <c r="AF251" s="47" t="s">
        <v>123</v>
      </c>
      <c r="AG251" s="47"/>
      <c r="AH251" s="47" t="s">
        <v>2277</v>
      </c>
      <c r="AI251" s="47" t="s">
        <v>327</v>
      </c>
      <c r="AJ251" s="47" t="s">
        <v>686</v>
      </c>
      <c r="AK251" s="47" t="s">
        <v>59</v>
      </c>
      <c r="AL251" s="47" t="s">
        <v>105</v>
      </c>
      <c r="AM251" s="47" t="s">
        <v>99</v>
      </c>
      <c r="AN251" s="47" t="s">
        <v>83</v>
      </c>
      <c r="AO251" s="47" t="s">
        <v>2135</v>
      </c>
      <c r="AP251" s="47" t="s">
        <v>2136</v>
      </c>
      <c r="AQ251" s="47" t="s">
        <v>81</v>
      </c>
      <c r="AR251" s="47"/>
      <c r="AS251" s="47" t="s">
        <v>82</v>
      </c>
      <c r="AT251" s="47" t="s">
        <v>327</v>
      </c>
      <c r="AU251" s="47" t="s">
        <v>83</v>
      </c>
      <c r="AV251" s="47" t="s">
        <v>702</v>
      </c>
      <c r="AW251" s="47" t="s">
        <v>711</v>
      </c>
      <c r="AX251" s="47" t="s">
        <v>686</v>
      </c>
      <c r="AY251" s="49">
        <v>38323</v>
      </c>
      <c r="AZ251" s="47" t="s">
        <v>80</v>
      </c>
      <c r="BA251" s="47" t="s">
        <v>2137</v>
      </c>
      <c r="BB251" s="47" t="s">
        <v>2358</v>
      </c>
      <c r="BC251" s="47" t="s">
        <v>2542</v>
      </c>
      <c r="BD251" s="47">
        <v>523206865</v>
      </c>
      <c r="BE251" s="47">
        <v>3153</v>
      </c>
      <c r="BF251" s="53">
        <v>1322775</v>
      </c>
    </row>
    <row r="252" spans="1:58" s="51" customFormat="1" ht="23.4" hidden="1" x14ac:dyDescent="0.25">
      <c r="A252" s="46">
        <v>251</v>
      </c>
      <c r="B252" s="47">
        <v>10379</v>
      </c>
      <c r="C252" s="47">
        <v>1632696</v>
      </c>
      <c r="D252" s="47" t="s">
        <v>2138</v>
      </c>
      <c r="E252" s="47" t="s">
        <v>2139</v>
      </c>
      <c r="F252" s="47" t="s">
        <v>506</v>
      </c>
      <c r="G252" s="47" t="str">
        <f>CONCATENATE(TRIM(الجدول2[[#This Row],[الاسم الأول]])," ",TRIM(الجدول2[[#This Row],[اسم الأب]])," ",TRIM(الجدول2[[#This Row],[الكنية]]))</f>
        <v>وسيم علاء الدين عيسى</v>
      </c>
      <c r="H252" s="47" t="s">
        <v>2140</v>
      </c>
      <c r="I252" s="48" t="s">
        <v>2141</v>
      </c>
      <c r="J252" s="47" t="s">
        <v>58</v>
      </c>
      <c r="K252" s="47" t="s">
        <v>59</v>
      </c>
      <c r="L252" s="47" t="s">
        <v>59</v>
      </c>
      <c r="M252" s="47" t="s">
        <v>60</v>
      </c>
      <c r="N252" s="47" t="s">
        <v>2142</v>
      </c>
      <c r="O252" s="49">
        <v>30584</v>
      </c>
      <c r="P252" s="47" t="s">
        <v>2143</v>
      </c>
      <c r="Q252" s="47" t="s">
        <v>63</v>
      </c>
      <c r="R252" s="48" t="s">
        <v>2144</v>
      </c>
      <c r="S252" s="47" t="s">
        <v>109</v>
      </c>
      <c r="T252" s="47">
        <v>1</v>
      </c>
      <c r="U252" s="47">
        <v>0</v>
      </c>
      <c r="V252" s="47" t="s">
        <v>66</v>
      </c>
      <c r="W252" s="47" t="s">
        <v>67</v>
      </c>
      <c r="X252" s="47" t="s">
        <v>68</v>
      </c>
      <c r="Y252" s="47" t="s">
        <v>443</v>
      </c>
      <c r="Z252" s="47"/>
      <c r="AA252" s="47"/>
      <c r="AB252" s="47" t="s">
        <v>2145</v>
      </c>
      <c r="AC252" s="47" t="s">
        <v>73</v>
      </c>
      <c r="AD252" s="47" t="s">
        <v>74</v>
      </c>
      <c r="AE252" s="49">
        <v>41293</v>
      </c>
      <c r="AF252" s="47" t="s">
        <v>123</v>
      </c>
      <c r="AG252" s="47"/>
      <c r="AH252" s="47" t="s">
        <v>2277</v>
      </c>
      <c r="AI252" s="47" t="s">
        <v>327</v>
      </c>
      <c r="AJ252" s="47" t="s">
        <v>686</v>
      </c>
      <c r="AK252" s="47" t="s">
        <v>59</v>
      </c>
      <c r="AL252" s="47" t="s">
        <v>59</v>
      </c>
      <c r="AM252" s="47" t="s">
        <v>79</v>
      </c>
      <c r="AN252" s="47" t="s">
        <v>83</v>
      </c>
      <c r="AO252" s="47" t="s">
        <v>2146</v>
      </c>
      <c r="AP252" s="47" t="s">
        <v>2147</v>
      </c>
      <c r="AQ252" s="47" t="s">
        <v>81</v>
      </c>
      <c r="AR252" s="47"/>
      <c r="AS252" s="47" t="s">
        <v>142</v>
      </c>
      <c r="AT252" s="47" t="s">
        <v>327</v>
      </c>
      <c r="AU252" s="47" t="s">
        <v>83</v>
      </c>
      <c r="AV252" s="47" t="s">
        <v>425</v>
      </c>
      <c r="AW252" s="47" t="s">
        <v>686</v>
      </c>
      <c r="AX252" s="47" t="s">
        <v>686</v>
      </c>
      <c r="AY252" s="49">
        <v>38925</v>
      </c>
      <c r="AZ252" s="47" t="s">
        <v>80</v>
      </c>
      <c r="BA252" s="47"/>
      <c r="BB252" s="47" t="s">
        <v>2359</v>
      </c>
      <c r="BC252" s="47" t="s">
        <v>2542</v>
      </c>
      <c r="BD252" s="47">
        <v>526055242</v>
      </c>
      <c r="BE252" s="47">
        <v>10186</v>
      </c>
      <c r="BF252" s="53">
        <v>1322775</v>
      </c>
    </row>
    <row r="253" spans="1:58" s="51" customFormat="1" ht="23.4" hidden="1" x14ac:dyDescent="0.25">
      <c r="A253" s="46">
        <v>252</v>
      </c>
      <c r="B253" s="47">
        <v>10395</v>
      </c>
      <c r="C253" s="47"/>
      <c r="D253" s="47" t="s">
        <v>2148</v>
      </c>
      <c r="E253" s="47" t="s">
        <v>2149</v>
      </c>
      <c r="F253" s="47" t="s">
        <v>53</v>
      </c>
      <c r="G253" s="47" t="str">
        <f>CONCATENATE(TRIM(الجدول2[[#This Row],[الاسم الأول]])," ",TRIM(الجدول2[[#This Row],[اسم الأب]])," ",TRIM(الجدول2[[#This Row],[الكنية]]))</f>
        <v>وصال عمادالدين ابراهيم</v>
      </c>
      <c r="H253" s="47" t="s">
        <v>2150</v>
      </c>
      <c r="I253" s="48" t="s">
        <v>2151</v>
      </c>
      <c r="J253" s="47" t="s">
        <v>58</v>
      </c>
      <c r="K253" s="47" t="s">
        <v>59</v>
      </c>
      <c r="L253" s="47" t="s">
        <v>90</v>
      </c>
      <c r="M253" s="47" t="s">
        <v>298</v>
      </c>
      <c r="N253" s="47" t="s">
        <v>1920</v>
      </c>
      <c r="O253" s="49">
        <v>32529</v>
      </c>
      <c r="P253" s="47" t="s">
        <v>2152</v>
      </c>
      <c r="Q253" s="47" t="s">
        <v>179</v>
      </c>
      <c r="R253" s="48" t="s">
        <v>2153</v>
      </c>
      <c r="S253" s="47" t="s">
        <v>109</v>
      </c>
      <c r="T253" s="47"/>
      <c r="U253" s="47">
        <v>2</v>
      </c>
      <c r="V253" s="47" t="s">
        <v>66</v>
      </c>
      <c r="W253" s="47" t="s">
        <v>67</v>
      </c>
      <c r="X253" s="47" t="s">
        <v>68</v>
      </c>
      <c r="Y253" s="47" t="s">
        <v>137</v>
      </c>
      <c r="Z253" s="47"/>
      <c r="AA253" s="47"/>
      <c r="AB253" s="47" t="s">
        <v>181</v>
      </c>
      <c r="AC253" s="47" t="s">
        <v>73</v>
      </c>
      <c r="AD253" s="47" t="s">
        <v>74</v>
      </c>
      <c r="AE253" s="49">
        <v>40862</v>
      </c>
      <c r="AF253" s="47" t="s">
        <v>123</v>
      </c>
      <c r="AG253" s="47"/>
      <c r="AH253" s="47" t="s">
        <v>124</v>
      </c>
      <c r="AI253" s="47" t="s">
        <v>182</v>
      </c>
      <c r="AJ253" s="47" t="s">
        <v>181</v>
      </c>
      <c r="AK253" s="47" t="s">
        <v>59</v>
      </c>
      <c r="AL253" s="47" t="s">
        <v>90</v>
      </c>
      <c r="AM253" s="47" t="s">
        <v>79</v>
      </c>
      <c r="AN253" s="47" t="s">
        <v>80</v>
      </c>
      <c r="AO253" s="47"/>
      <c r="AP253" s="47"/>
      <c r="AQ253" s="47" t="s">
        <v>1598</v>
      </c>
      <c r="AR253" s="47" t="s">
        <v>2154</v>
      </c>
      <c r="AS253" s="47" t="s">
        <v>82</v>
      </c>
      <c r="AT253" s="47" t="s">
        <v>182</v>
      </c>
      <c r="AU253" s="47" t="s">
        <v>83</v>
      </c>
      <c r="AV253" s="47" t="s">
        <v>59</v>
      </c>
      <c r="AW253" s="47" t="s">
        <v>181</v>
      </c>
      <c r="AX253" s="47" t="s">
        <v>1286</v>
      </c>
      <c r="AY253" s="49">
        <v>40389</v>
      </c>
      <c r="AZ253" s="47" t="s">
        <v>80</v>
      </c>
      <c r="BA253" s="47" t="s">
        <v>2155</v>
      </c>
      <c r="BB253" s="47" t="s">
        <v>2358</v>
      </c>
      <c r="BC253" s="47" t="s">
        <v>2542</v>
      </c>
      <c r="BD253" s="47">
        <v>528106217</v>
      </c>
      <c r="BE253" s="47">
        <v>22437</v>
      </c>
      <c r="BF253" s="53">
        <v>1243000</v>
      </c>
    </row>
    <row r="254" spans="1:58" s="51" customFormat="1" ht="23.4" hidden="1" x14ac:dyDescent="0.25">
      <c r="A254" s="46">
        <v>253</v>
      </c>
      <c r="B254" s="47">
        <v>10399</v>
      </c>
      <c r="C254" s="47">
        <v>1634011</v>
      </c>
      <c r="D254" s="47" t="s">
        <v>2156</v>
      </c>
      <c r="E254" s="47" t="s">
        <v>115</v>
      </c>
      <c r="F254" s="47" t="s">
        <v>2157</v>
      </c>
      <c r="G254" s="47" t="str">
        <f>CONCATENATE(TRIM(الجدول2[[#This Row],[الاسم الأول]])," ",TRIM(الجدول2[[#This Row],[اسم الأب]])," ",TRIM(الجدول2[[#This Row],[الكنية]]))</f>
        <v>وضاح محمد عتيق</v>
      </c>
      <c r="H254" s="47" t="s">
        <v>2158</v>
      </c>
      <c r="I254" s="48" t="s">
        <v>2159</v>
      </c>
      <c r="J254" s="47" t="s">
        <v>58</v>
      </c>
      <c r="K254" s="47" t="s">
        <v>59</v>
      </c>
      <c r="L254" s="47" t="s">
        <v>78</v>
      </c>
      <c r="M254" s="47" t="s">
        <v>570</v>
      </c>
      <c r="N254" s="47" t="s">
        <v>1933</v>
      </c>
      <c r="O254" s="49">
        <v>30224</v>
      </c>
      <c r="P254" s="47" t="s">
        <v>2160</v>
      </c>
      <c r="Q254" s="47" t="s">
        <v>63</v>
      </c>
      <c r="R254" s="48" t="s">
        <v>2161</v>
      </c>
      <c r="S254" s="47" t="s">
        <v>109</v>
      </c>
      <c r="T254" s="47">
        <v>1</v>
      </c>
      <c r="U254" s="47">
        <v>1</v>
      </c>
      <c r="V254" s="47" t="s">
        <v>66</v>
      </c>
      <c r="W254" s="47" t="s">
        <v>67</v>
      </c>
      <c r="X254" s="47" t="s">
        <v>68</v>
      </c>
      <c r="Y254" s="47" t="s">
        <v>1382</v>
      </c>
      <c r="Z254" s="47" t="s">
        <v>1793</v>
      </c>
      <c r="AA254" s="47"/>
      <c r="AB254" s="47" t="s">
        <v>1794</v>
      </c>
      <c r="AC254" s="47" t="s">
        <v>73</v>
      </c>
      <c r="AD254" s="47" t="s">
        <v>74</v>
      </c>
      <c r="AE254" s="49">
        <v>41093</v>
      </c>
      <c r="AF254" s="47" t="s">
        <v>123</v>
      </c>
      <c r="AG254" s="47"/>
      <c r="AH254" s="47" t="s">
        <v>2277</v>
      </c>
      <c r="AI254" s="47" t="s">
        <v>327</v>
      </c>
      <c r="AJ254" s="47" t="s">
        <v>686</v>
      </c>
      <c r="AK254" s="47" t="s">
        <v>59</v>
      </c>
      <c r="AL254" s="47" t="s">
        <v>78</v>
      </c>
      <c r="AM254" s="47" t="s">
        <v>99</v>
      </c>
      <c r="AN254" s="47" t="s">
        <v>80</v>
      </c>
      <c r="AO254" s="47"/>
      <c r="AP254" s="47"/>
      <c r="AQ254" s="47" t="s">
        <v>81</v>
      </c>
      <c r="AR254" s="47"/>
      <c r="AS254" s="47" t="s">
        <v>173</v>
      </c>
      <c r="AT254" s="47" t="s">
        <v>327</v>
      </c>
      <c r="AU254" s="47" t="s">
        <v>83</v>
      </c>
      <c r="AV254" s="47" t="s">
        <v>425</v>
      </c>
      <c r="AW254" s="47" t="s">
        <v>711</v>
      </c>
      <c r="AX254" s="47" t="s">
        <v>787</v>
      </c>
      <c r="AY254" s="49">
        <v>38360</v>
      </c>
      <c r="AZ254" s="47" t="s">
        <v>80</v>
      </c>
      <c r="BA254" s="47"/>
      <c r="BB254" s="47" t="s">
        <v>2359</v>
      </c>
      <c r="BC254" s="47" t="s">
        <v>2542</v>
      </c>
      <c r="BD254" s="47">
        <v>523111483</v>
      </c>
      <c r="BE254" s="47">
        <v>2308</v>
      </c>
      <c r="BF254" s="53">
        <v>1354293</v>
      </c>
    </row>
    <row r="255" spans="1:58" s="51" customFormat="1" ht="23.4" hidden="1" x14ac:dyDescent="0.25">
      <c r="A255" s="46">
        <v>254</v>
      </c>
      <c r="B255" s="47">
        <v>10428</v>
      </c>
      <c r="C255" s="47">
        <v>1632689</v>
      </c>
      <c r="D255" s="47" t="s">
        <v>2162</v>
      </c>
      <c r="E255" s="47" t="s">
        <v>882</v>
      </c>
      <c r="F255" s="47" t="s">
        <v>115</v>
      </c>
      <c r="G255" s="47" t="str">
        <f>CONCATENATE(TRIM(الجدول2[[#This Row],[الاسم الأول]])," ",TRIM(الجدول2[[#This Row],[اسم الأب]])," ",TRIM(الجدول2[[#This Row],[الكنية]]))</f>
        <v>وفاء مالك محمد</v>
      </c>
      <c r="H255" s="47" t="s">
        <v>2163</v>
      </c>
      <c r="I255" s="48" t="s">
        <v>2164</v>
      </c>
      <c r="J255" s="47" t="s">
        <v>58</v>
      </c>
      <c r="K255" s="47" t="s">
        <v>59</v>
      </c>
      <c r="L255" s="47" t="s">
        <v>59</v>
      </c>
      <c r="M255" s="47" t="s">
        <v>60</v>
      </c>
      <c r="N255" s="47" t="s">
        <v>59</v>
      </c>
      <c r="O255" s="49">
        <v>31821</v>
      </c>
      <c r="P255" s="47" t="s">
        <v>2165</v>
      </c>
      <c r="Q255" s="47" t="s">
        <v>179</v>
      </c>
      <c r="R255" s="48" t="s">
        <v>2166</v>
      </c>
      <c r="S255" s="47" t="s">
        <v>109</v>
      </c>
      <c r="T255" s="47"/>
      <c r="U255" s="47">
        <v>4</v>
      </c>
      <c r="V255" s="47" t="s">
        <v>66</v>
      </c>
      <c r="W255" s="47" t="s">
        <v>67</v>
      </c>
      <c r="X255" s="47" t="s">
        <v>68</v>
      </c>
      <c r="Y255" s="47" t="s">
        <v>137</v>
      </c>
      <c r="Z255" s="47"/>
      <c r="AA255" s="47"/>
      <c r="AB255" s="47" t="s">
        <v>289</v>
      </c>
      <c r="AC255" s="47" t="s">
        <v>73</v>
      </c>
      <c r="AD255" s="47" t="s">
        <v>74</v>
      </c>
      <c r="AE255" s="49">
        <v>41287</v>
      </c>
      <c r="AF255" s="47" t="s">
        <v>123</v>
      </c>
      <c r="AG255" s="47"/>
      <c r="AH255" s="47" t="s">
        <v>2277</v>
      </c>
      <c r="AI255" s="47" t="s">
        <v>327</v>
      </c>
      <c r="AJ255" s="47" t="s">
        <v>686</v>
      </c>
      <c r="AK255" s="47" t="s">
        <v>59</v>
      </c>
      <c r="AL255" s="47" t="s">
        <v>59</v>
      </c>
      <c r="AM255" s="47" t="s">
        <v>99</v>
      </c>
      <c r="AN255" s="47" t="s">
        <v>83</v>
      </c>
      <c r="AO255" s="47" t="s">
        <v>2167</v>
      </c>
      <c r="AP255" s="47" t="s">
        <v>2168</v>
      </c>
      <c r="AQ255" s="47" t="s">
        <v>81</v>
      </c>
      <c r="AR255" s="47"/>
      <c r="AS255" s="47" t="s">
        <v>2169</v>
      </c>
      <c r="AT255" s="47" t="s">
        <v>327</v>
      </c>
      <c r="AU255" s="47" t="s">
        <v>83</v>
      </c>
      <c r="AV255" s="47" t="s">
        <v>184</v>
      </c>
      <c r="AW255" s="47" t="s">
        <v>686</v>
      </c>
      <c r="AX255" s="47" t="s">
        <v>686</v>
      </c>
      <c r="AY255" s="49">
        <v>40118</v>
      </c>
      <c r="AZ255" s="47" t="s">
        <v>80</v>
      </c>
      <c r="BA255" s="47" t="s">
        <v>2170</v>
      </c>
      <c r="BB255" s="47" t="s">
        <v>2358</v>
      </c>
      <c r="BC255" s="47" t="s">
        <v>2542</v>
      </c>
      <c r="BD255" s="47">
        <v>526682855</v>
      </c>
      <c r="BE255" s="47">
        <v>14723</v>
      </c>
      <c r="BF255" s="53">
        <v>1322775</v>
      </c>
    </row>
    <row r="256" spans="1:58" s="51" customFormat="1" ht="23.4" hidden="1" x14ac:dyDescent="0.25">
      <c r="A256" s="46">
        <v>255</v>
      </c>
      <c r="B256" s="47">
        <v>10434</v>
      </c>
      <c r="C256" s="47">
        <v>918177</v>
      </c>
      <c r="D256" s="47" t="s">
        <v>2162</v>
      </c>
      <c r="E256" s="47" t="s">
        <v>115</v>
      </c>
      <c r="F256" s="47" t="s">
        <v>131</v>
      </c>
      <c r="G256" s="47" t="str">
        <f>CONCATENATE(TRIM(الجدول2[[#This Row],[الاسم الأول]])," ",TRIM(الجدول2[[#This Row],[اسم الأب]])," ",TRIM(الجدول2[[#This Row],[الكنية]]))</f>
        <v>وفاء محمد علي</v>
      </c>
      <c r="H256" s="47" t="s">
        <v>2171</v>
      </c>
      <c r="I256" s="48" t="s">
        <v>2172</v>
      </c>
      <c r="J256" s="47" t="s">
        <v>58</v>
      </c>
      <c r="K256" s="47" t="s">
        <v>59</v>
      </c>
      <c r="L256" s="47" t="s">
        <v>164</v>
      </c>
      <c r="M256" s="47" t="s">
        <v>165</v>
      </c>
      <c r="N256" s="47" t="s">
        <v>2173</v>
      </c>
      <c r="O256" s="49">
        <v>25399</v>
      </c>
      <c r="P256" s="47" t="s">
        <v>2174</v>
      </c>
      <c r="Q256" s="47" t="s">
        <v>179</v>
      </c>
      <c r="R256" s="48" t="s">
        <v>2175</v>
      </c>
      <c r="S256" s="47" t="s">
        <v>65</v>
      </c>
      <c r="T256" s="47"/>
      <c r="U256" s="47"/>
      <c r="V256" s="47" t="s">
        <v>66</v>
      </c>
      <c r="W256" s="47" t="s">
        <v>67</v>
      </c>
      <c r="X256" s="47" t="s">
        <v>68</v>
      </c>
      <c r="Y256" s="47" t="s">
        <v>94</v>
      </c>
      <c r="Z256" s="47" t="s">
        <v>221</v>
      </c>
      <c r="AA256" s="47" t="s">
        <v>582</v>
      </c>
      <c r="AB256" s="47" t="s">
        <v>2176</v>
      </c>
      <c r="AC256" s="47" t="s">
        <v>73</v>
      </c>
      <c r="AD256" s="47" t="s">
        <v>74</v>
      </c>
      <c r="AE256" s="49">
        <v>36896</v>
      </c>
      <c r="AF256" s="47" t="s">
        <v>123</v>
      </c>
      <c r="AG256" s="47"/>
      <c r="AH256" s="47" t="s">
        <v>124</v>
      </c>
      <c r="AI256" s="47" t="s">
        <v>125</v>
      </c>
      <c r="AJ256" s="47"/>
      <c r="AK256" s="47" t="s">
        <v>59</v>
      </c>
      <c r="AL256" s="47" t="s">
        <v>164</v>
      </c>
      <c r="AM256" s="47" t="s">
        <v>99</v>
      </c>
      <c r="AN256" s="47" t="s">
        <v>80</v>
      </c>
      <c r="AO256" s="47"/>
      <c r="AP256" s="47"/>
      <c r="AQ256" s="47" t="s">
        <v>81</v>
      </c>
      <c r="AR256" s="47"/>
      <c r="AS256" s="47" t="s">
        <v>142</v>
      </c>
      <c r="AT256" s="47" t="s">
        <v>128</v>
      </c>
      <c r="AU256" s="47" t="s">
        <v>83</v>
      </c>
      <c r="AV256" s="47"/>
      <c r="AW256" s="47"/>
      <c r="AX256" s="47" t="s">
        <v>129</v>
      </c>
      <c r="AY256" s="49">
        <v>32348</v>
      </c>
      <c r="AZ256" s="47" t="s">
        <v>80</v>
      </c>
      <c r="BA256" s="47"/>
      <c r="BB256" s="47" t="s">
        <v>2359</v>
      </c>
      <c r="BC256" s="47" t="s">
        <v>2542</v>
      </c>
      <c r="BD256" s="47">
        <v>524069745</v>
      </c>
      <c r="BE256" s="47">
        <v>5848</v>
      </c>
      <c r="BF256" s="53">
        <v>1243000</v>
      </c>
    </row>
    <row r="257" spans="1:58" s="51" customFormat="1" ht="23.4" hidden="1" x14ac:dyDescent="0.25">
      <c r="A257" s="46">
        <v>256</v>
      </c>
      <c r="B257" s="47">
        <v>10507</v>
      </c>
      <c r="C257" s="47"/>
      <c r="D257" s="47" t="s">
        <v>2177</v>
      </c>
      <c r="E257" s="47" t="s">
        <v>86</v>
      </c>
      <c r="F257" s="47" t="s">
        <v>2178</v>
      </c>
      <c r="G257" s="47" t="str">
        <f>CONCATENATE(TRIM(الجدول2[[#This Row],[الاسم الأول]])," ",TRIM(الجدول2[[#This Row],[اسم الأب]])," ",TRIM(الجدول2[[#This Row],[الكنية]]))</f>
        <v>وليم احمد سلوم</v>
      </c>
      <c r="H257" s="47" t="s">
        <v>2179</v>
      </c>
      <c r="I257" s="48" t="s">
        <v>2180</v>
      </c>
      <c r="J257" s="47" t="s">
        <v>58</v>
      </c>
      <c r="K257" s="47" t="s">
        <v>59</v>
      </c>
      <c r="L257" s="47" t="s">
        <v>78</v>
      </c>
      <c r="M257" s="47" t="s">
        <v>570</v>
      </c>
      <c r="N257" s="47" t="s">
        <v>2181</v>
      </c>
      <c r="O257" s="49">
        <v>25934</v>
      </c>
      <c r="P257" s="47" t="s">
        <v>78</v>
      </c>
      <c r="Q257" s="47" t="s">
        <v>63</v>
      </c>
      <c r="R257" s="48" t="s">
        <v>2182</v>
      </c>
      <c r="S257" s="47" t="s">
        <v>109</v>
      </c>
      <c r="T257" s="47">
        <v>1</v>
      </c>
      <c r="U257" s="47">
        <v>3</v>
      </c>
      <c r="V257" s="47" t="s">
        <v>66</v>
      </c>
      <c r="W257" s="47" t="s">
        <v>67</v>
      </c>
      <c r="X257" s="47" t="s">
        <v>68</v>
      </c>
      <c r="Y257" s="47" t="s">
        <v>152</v>
      </c>
      <c r="Z257" s="47" t="s">
        <v>153</v>
      </c>
      <c r="AA257" s="47"/>
      <c r="AB257" s="47" t="s">
        <v>154</v>
      </c>
      <c r="AC257" s="47" t="s">
        <v>73</v>
      </c>
      <c r="AD257" s="47" t="s">
        <v>74</v>
      </c>
      <c r="AE257" s="49">
        <v>41348</v>
      </c>
      <c r="AF257" s="47" t="s">
        <v>156</v>
      </c>
      <c r="AG257" s="47"/>
      <c r="AH257" s="47" t="s">
        <v>140</v>
      </c>
      <c r="AI257" s="47" t="s">
        <v>143</v>
      </c>
      <c r="AJ257" s="47"/>
      <c r="AK257" s="47" t="s">
        <v>59</v>
      </c>
      <c r="AL257" s="47" t="s">
        <v>59</v>
      </c>
      <c r="AM257" s="47" t="s">
        <v>158</v>
      </c>
      <c r="AN257" s="47" t="s">
        <v>80</v>
      </c>
      <c r="AO257" s="47"/>
      <c r="AP257" s="47"/>
      <c r="AQ257" s="47" t="s">
        <v>81</v>
      </c>
      <c r="AR257" s="47"/>
      <c r="AS257" s="47" t="s">
        <v>173</v>
      </c>
      <c r="AT257" s="47" t="s">
        <v>250</v>
      </c>
      <c r="AU257" s="47"/>
      <c r="AV257" s="47"/>
      <c r="AW257" s="47"/>
      <c r="AX257" s="47"/>
      <c r="AY257" s="49"/>
      <c r="AZ257" s="47" t="s">
        <v>80</v>
      </c>
      <c r="BA257" s="47"/>
      <c r="BB257" s="47" t="s">
        <v>2358</v>
      </c>
      <c r="BC257" s="47" t="s">
        <v>2542</v>
      </c>
      <c r="BD257" s="47">
        <v>523241528</v>
      </c>
      <c r="BE257" s="47">
        <v>3413</v>
      </c>
      <c r="BF257" s="53">
        <v>1070502</v>
      </c>
    </row>
    <row r="258" spans="1:58" s="51" customFormat="1" ht="23.4" hidden="1" x14ac:dyDescent="0.25">
      <c r="A258" s="46">
        <v>257</v>
      </c>
      <c r="B258" s="47">
        <v>10515</v>
      </c>
      <c r="C258" s="47"/>
      <c r="D258" s="47" t="s">
        <v>2183</v>
      </c>
      <c r="E258" s="47" t="s">
        <v>86</v>
      </c>
      <c r="F258" s="47" t="s">
        <v>334</v>
      </c>
      <c r="G258" s="47" t="str">
        <f>CONCATENATE(TRIM(الجدول2[[#This Row],[الاسم الأول]])," ",TRIM(الجدول2[[#This Row],[اسم الأب]])," ",TRIM(الجدول2[[#This Row],[الكنية]]))</f>
        <v>وهيبه احمد سلمان</v>
      </c>
      <c r="H258" s="47" t="s">
        <v>2184</v>
      </c>
      <c r="I258" s="48" t="s">
        <v>2185</v>
      </c>
      <c r="J258" s="47" t="s">
        <v>58</v>
      </c>
      <c r="K258" s="47" t="s">
        <v>59</v>
      </c>
      <c r="L258" s="47" t="s">
        <v>105</v>
      </c>
      <c r="M258" s="47" t="s">
        <v>106</v>
      </c>
      <c r="N258" s="47" t="s">
        <v>2186</v>
      </c>
      <c r="O258" s="49">
        <v>30232</v>
      </c>
      <c r="P258" s="47" t="s">
        <v>2187</v>
      </c>
      <c r="Q258" s="47" t="s">
        <v>179</v>
      </c>
      <c r="R258" s="48" t="s">
        <v>2188</v>
      </c>
      <c r="S258" s="47" t="s">
        <v>109</v>
      </c>
      <c r="T258" s="47"/>
      <c r="U258" s="47">
        <v>2</v>
      </c>
      <c r="V258" s="47" t="s">
        <v>66</v>
      </c>
      <c r="W258" s="47" t="s">
        <v>67</v>
      </c>
      <c r="X258" s="47" t="s">
        <v>68</v>
      </c>
      <c r="Y258" s="47" t="s">
        <v>137</v>
      </c>
      <c r="Z258" s="47"/>
      <c r="AA258" s="47"/>
      <c r="AB258" s="47" t="s">
        <v>289</v>
      </c>
      <c r="AC258" s="47" t="s">
        <v>73</v>
      </c>
      <c r="AD258" s="47" t="s">
        <v>74</v>
      </c>
      <c r="AE258" s="49">
        <v>41294</v>
      </c>
      <c r="AF258" s="47" t="s">
        <v>123</v>
      </c>
      <c r="AG258" s="47"/>
      <c r="AH258" s="47" t="s">
        <v>124</v>
      </c>
      <c r="AI258" s="47" t="s">
        <v>182</v>
      </c>
      <c r="AJ258" s="47" t="s">
        <v>1511</v>
      </c>
      <c r="AK258" s="47" t="s">
        <v>59</v>
      </c>
      <c r="AL258" s="47" t="s">
        <v>105</v>
      </c>
      <c r="AM258" s="47" t="s">
        <v>99</v>
      </c>
      <c r="AN258" s="47" t="s">
        <v>83</v>
      </c>
      <c r="AO258" s="47" t="s">
        <v>2189</v>
      </c>
      <c r="AP258" s="47" t="s">
        <v>2190</v>
      </c>
      <c r="AQ258" s="47" t="s">
        <v>81</v>
      </c>
      <c r="AR258" s="47"/>
      <c r="AS258" s="47" t="s">
        <v>82</v>
      </c>
      <c r="AT258" s="47" t="s">
        <v>327</v>
      </c>
      <c r="AU258" s="47" t="s">
        <v>83</v>
      </c>
      <c r="AV258" s="47" t="s">
        <v>59</v>
      </c>
      <c r="AW258" s="47" t="s">
        <v>483</v>
      </c>
      <c r="AX258" s="47" t="s">
        <v>1078</v>
      </c>
      <c r="AY258" s="49">
        <v>43405</v>
      </c>
      <c r="AZ258" s="47" t="s">
        <v>80</v>
      </c>
      <c r="BA258" s="47" t="s">
        <v>435</v>
      </c>
      <c r="BB258" s="47" t="s">
        <v>2358</v>
      </c>
      <c r="BC258" s="47" t="s">
        <v>2542</v>
      </c>
      <c r="BD258" s="47">
        <v>526110085</v>
      </c>
      <c r="BE258" s="47">
        <v>11194</v>
      </c>
      <c r="BF258" s="53">
        <v>1243000</v>
      </c>
    </row>
    <row r="259" spans="1:58" s="51" customFormat="1" ht="23.4" hidden="1" x14ac:dyDescent="0.25">
      <c r="A259" s="46">
        <v>258</v>
      </c>
      <c r="B259" s="47">
        <v>10528</v>
      </c>
      <c r="C259" s="47"/>
      <c r="D259" s="47" t="s">
        <v>2191</v>
      </c>
      <c r="E259" s="47" t="s">
        <v>1324</v>
      </c>
      <c r="F259" s="47" t="s">
        <v>131</v>
      </c>
      <c r="G259" s="47" t="str">
        <f>CONCATENATE(TRIM(الجدول2[[#This Row],[الاسم الأول]])," ",TRIM(الجدول2[[#This Row],[اسم الأب]])," ",TRIM(الجدول2[[#This Row],[الكنية]]))</f>
        <v>يارا محسن علي</v>
      </c>
      <c r="H259" s="47" t="s">
        <v>2192</v>
      </c>
      <c r="I259" s="48" t="s">
        <v>2193</v>
      </c>
      <c r="J259" s="47" t="s">
        <v>58</v>
      </c>
      <c r="K259" s="47" t="s">
        <v>59</v>
      </c>
      <c r="L259" s="47" t="s">
        <v>90</v>
      </c>
      <c r="M259" s="47" t="s">
        <v>298</v>
      </c>
      <c r="N259" s="47" t="s">
        <v>59</v>
      </c>
      <c r="O259" s="49">
        <v>34872</v>
      </c>
      <c r="P259" s="47" t="s">
        <v>2194</v>
      </c>
      <c r="Q259" s="47" t="s">
        <v>179</v>
      </c>
      <c r="R259" s="48" t="s">
        <v>2195</v>
      </c>
      <c r="S259" s="47" t="s">
        <v>109</v>
      </c>
      <c r="T259" s="47"/>
      <c r="U259" s="47">
        <v>1</v>
      </c>
      <c r="V259" s="47" t="s">
        <v>66</v>
      </c>
      <c r="W259" s="47" t="s">
        <v>67</v>
      </c>
      <c r="X259" s="47" t="s">
        <v>68</v>
      </c>
      <c r="Y259" s="47" t="s">
        <v>169</v>
      </c>
      <c r="Z259" s="47" t="s">
        <v>2196</v>
      </c>
      <c r="AA259" s="47" t="s">
        <v>171</v>
      </c>
      <c r="AB259" s="47" t="s">
        <v>642</v>
      </c>
      <c r="AC259" s="47" t="s">
        <v>155</v>
      </c>
      <c r="AD259" s="47" t="s">
        <v>74</v>
      </c>
      <c r="AE259" s="49">
        <v>43905</v>
      </c>
      <c r="AF259" s="47" t="s">
        <v>123</v>
      </c>
      <c r="AG259" s="47"/>
      <c r="AH259" s="47" t="s">
        <v>140</v>
      </c>
      <c r="AI259" s="47" t="s">
        <v>143</v>
      </c>
      <c r="AJ259" s="47"/>
      <c r="AK259" s="47" t="s">
        <v>59</v>
      </c>
      <c r="AL259" s="47" t="s">
        <v>90</v>
      </c>
      <c r="AM259" s="47" t="s">
        <v>99</v>
      </c>
      <c r="AN259" s="47" t="s">
        <v>80</v>
      </c>
      <c r="AO259" s="47"/>
      <c r="AP259" s="47"/>
      <c r="AQ259" s="47" t="s">
        <v>81</v>
      </c>
      <c r="AR259" s="47"/>
      <c r="AS259" s="47" t="s">
        <v>82</v>
      </c>
      <c r="AT259" s="47" t="s">
        <v>143</v>
      </c>
      <c r="AU259" s="47" t="s">
        <v>83</v>
      </c>
      <c r="AV259" s="47"/>
      <c r="AW259" s="47"/>
      <c r="AX259" s="47"/>
      <c r="AY259" s="49">
        <v>40382</v>
      </c>
      <c r="AZ259" s="47" t="s">
        <v>80</v>
      </c>
      <c r="BA259" s="47"/>
      <c r="BB259" s="47" t="s">
        <v>2359</v>
      </c>
      <c r="BC259" s="47" t="s">
        <v>2542</v>
      </c>
      <c r="BD259" s="47">
        <v>523053891</v>
      </c>
      <c r="BE259" s="47">
        <v>1792</v>
      </c>
      <c r="BF259" s="53">
        <v>993903</v>
      </c>
    </row>
    <row r="260" spans="1:58" s="51" customFormat="1" ht="23.4" hidden="1" x14ac:dyDescent="0.25">
      <c r="A260" s="46">
        <v>259</v>
      </c>
      <c r="B260" s="47">
        <v>10604</v>
      </c>
      <c r="C260" s="47">
        <v>1634005</v>
      </c>
      <c r="D260" s="47" t="s">
        <v>2197</v>
      </c>
      <c r="E260" s="47" t="s">
        <v>116</v>
      </c>
      <c r="F260" s="47" t="s">
        <v>2198</v>
      </c>
      <c r="G260" s="47" t="str">
        <f>CONCATENATE(TRIM(الجدول2[[#This Row],[الاسم الأول]])," ",TRIM(الجدول2[[#This Row],[اسم الأب]])," ",TRIM(الجدول2[[#This Row],[الكنية]]))</f>
        <v>ياسر يوسف كناج</v>
      </c>
      <c r="H260" s="47" t="s">
        <v>2199</v>
      </c>
      <c r="I260" s="48" t="s">
        <v>2200</v>
      </c>
      <c r="J260" s="47" t="s">
        <v>58</v>
      </c>
      <c r="K260" s="47" t="s">
        <v>59</v>
      </c>
      <c r="L260" s="47" t="s">
        <v>59</v>
      </c>
      <c r="M260" s="47" t="s">
        <v>60</v>
      </c>
      <c r="N260" s="47" t="s">
        <v>2201</v>
      </c>
      <c r="O260" s="49">
        <v>29382</v>
      </c>
      <c r="P260" s="47" t="s">
        <v>2202</v>
      </c>
      <c r="Q260" s="47" t="s">
        <v>63</v>
      </c>
      <c r="R260" s="48" t="s">
        <v>2203</v>
      </c>
      <c r="S260" s="47" t="s">
        <v>109</v>
      </c>
      <c r="T260" s="47">
        <v>1</v>
      </c>
      <c r="U260" s="47">
        <v>2</v>
      </c>
      <c r="V260" s="47" t="s">
        <v>66</v>
      </c>
      <c r="W260" s="47" t="s">
        <v>67</v>
      </c>
      <c r="X260" s="47" t="s">
        <v>68</v>
      </c>
      <c r="Y260" s="47" t="s">
        <v>1015</v>
      </c>
      <c r="Z260" s="47"/>
      <c r="AA260" s="47"/>
      <c r="AB260" s="47" t="s">
        <v>2204</v>
      </c>
      <c r="AC260" s="47" t="s">
        <v>73</v>
      </c>
      <c r="AD260" s="47" t="s">
        <v>74</v>
      </c>
      <c r="AE260" s="49">
        <v>41294</v>
      </c>
      <c r="AF260" s="47" t="s">
        <v>123</v>
      </c>
      <c r="AG260" s="47"/>
      <c r="AH260" s="47" t="s">
        <v>1007</v>
      </c>
      <c r="AI260" s="47" t="s">
        <v>143</v>
      </c>
      <c r="AJ260" s="47"/>
      <c r="AK260" s="47" t="s">
        <v>59</v>
      </c>
      <c r="AL260" s="47" t="s">
        <v>59</v>
      </c>
      <c r="AM260" s="47" t="s">
        <v>99</v>
      </c>
      <c r="AN260" s="47" t="s">
        <v>80</v>
      </c>
      <c r="AO260" s="47"/>
      <c r="AP260" s="47"/>
      <c r="AQ260" s="47" t="s">
        <v>81</v>
      </c>
      <c r="AR260" s="47"/>
      <c r="AS260" s="47" t="s">
        <v>82</v>
      </c>
      <c r="AT260" s="47" t="s">
        <v>143</v>
      </c>
      <c r="AU260" s="47" t="s">
        <v>83</v>
      </c>
      <c r="AV260" s="47"/>
      <c r="AW260" s="47"/>
      <c r="AX260" s="47"/>
      <c r="AY260" s="49">
        <v>34542</v>
      </c>
      <c r="AZ260" s="47" t="s">
        <v>80</v>
      </c>
      <c r="BA260" s="47"/>
      <c r="BB260" s="47" t="s">
        <v>2359</v>
      </c>
      <c r="BC260" s="47" t="s">
        <v>2542</v>
      </c>
      <c r="BD260" s="47">
        <v>526131568</v>
      </c>
      <c r="BE260" s="47">
        <v>11431</v>
      </c>
      <c r="BF260" s="53">
        <v>1185000</v>
      </c>
    </row>
    <row r="261" spans="1:58" s="51" customFormat="1" ht="23.4" hidden="1" x14ac:dyDescent="0.25">
      <c r="A261" s="46">
        <v>260</v>
      </c>
      <c r="B261" s="47">
        <v>10612</v>
      </c>
      <c r="C261" s="47"/>
      <c r="D261" s="47" t="s">
        <v>2205</v>
      </c>
      <c r="E261" s="47" t="s">
        <v>131</v>
      </c>
      <c r="F261" s="47" t="s">
        <v>583</v>
      </c>
      <c r="G261" s="47" t="str">
        <f>CONCATENATE(TRIM(الجدول2[[#This Row],[الاسم الأول]])," ",TRIM(الجدول2[[#This Row],[اسم الأب]])," ",TRIM(الجدول2[[#This Row],[الكنية]]))</f>
        <v>ياسمين علي حيدر</v>
      </c>
      <c r="H261" s="47" t="s">
        <v>2206</v>
      </c>
      <c r="I261" s="48" t="s">
        <v>2207</v>
      </c>
      <c r="J261" s="47" t="s">
        <v>58</v>
      </c>
      <c r="K261" s="47" t="s">
        <v>59</v>
      </c>
      <c r="L261" s="47" t="s">
        <v>105</v>
      </c>
      <c r="M261" s="47" t="s">
        <v>518</v>
      </c>
      <c r="N261" s="47" t="s">
        <v>2208</v>
      </c>
      <c r="O261" s="49">
        <v>32345</v>
      </c>
      <c r="P261" s="47" t="s">
        <v>2209</v>
      </c>
      <c r="Q261" s="47" t="s">
        <v>179</v>
      </c>
      <c r="R261" s="48" t="s">
        <v>2210</v>
      </c>
      <c r="S261" s="47" t="s">
        <v>109</v>
      </c>
      <c r="T261" s="47"/>
      <c r="U261" s="47">
        <v>4</v>
      </c>
      <c r="V261" s="47" t="s">
        <v>66</v>
      </c>
      <c r="W261" s="47" t="s">
        <v>67</v>
      </c>
      <c r="X261" s="47" t="s">
        <v>68</v>
      </c>
      <c r="Y261" s="47" t="s">
        <v>137</v>
      </c>
      <c r="Z261" s="47"/>
      <c r="AA261" s="47"/>
      <c r="AB261" s="47" t="s">
        <v>212</v>
      </c>
      <c r="AC261" s="47" t="s">
        <v>155</v>
      </c>
      <c r="AD261" s="47" t="s">
        <v>74</v>
      </c>
      <c r="AE261" s="49">
        <v>44054</v>
      </c>
      <c r="AF261" s="47" t="s">
        <v>123</v>
      </c>
      <c r="AG261" s="47"/>
      <c r="AH261" s="47" t="s">
        <v>140</v>
      </c>
      <c r="AI261" s="47" t="s">
        <v>143</v>
      </c>
      <c r="AJ261" s="47"/>
      <c r="AK261" s="47" t="s">
        <v>59</v>
      </c>
      <c r="AL261" s="47" t="s">
        <v>105</v>
      </c>
      <c r="AM261" s="47" t="s">
        <v>99</v>
      </c>
      <c r="AN261" s="47" t="s">
        <v>80</v>
      </c>
      <c r="AO261" s="47"/>
      <c r="AP261" s="47"/>
      <c r="AQ261" s="47" t="s">
        <v>81</v>
      </c>
      <c r="AR261" s="47"/>
      <c r="AS261" s="47" t="s">
        <v>82</v>
      </c>
      <c r="AT261" s="47" t="s">
        <v>143</v>
      </c>
      <c r="AU261" s="47" t="s">
        <v>83</v>
      </c>
      <c r="AV261" s="47"/>
      <c r="AW261" s="47"/>
      <c r="AX261" s="47"/>
      <c r="AY261" s="49">
        <v>39264</v>
      </c>
      <c r="AZ261" s="47" t="s">
        <v>80</v>
      </c>
      <c r="BA261" s="47" t="s">
        <v>435</v>
      </c>
      <c r="BB261" s="47" t="s">
        <v>2358</v>
      </c>
      <c r="BC261" s="47" t="s">
        <v>2542</v>
      </c>
      <c r="BD261" s="47">
        <v>526107182</v>
      </c>
      <c r="BE261" s="47">
        <v>11159</v>
      </c>
      <c r="BF261" s="53">
        <v>994128</v>
      </c>
    </row>
    <row r="262" spans="1:58" s="51" customFormat="1" ht="23.4" hidden="1" x14ac:dyDescent="0.25">
      <c r="A262" s="46">
        <v>261</v>
      </c>
      <c r="B262" s="47">
        <v>45894</v>
      </c>
      <c r="C262" s="47"/>
      <c r="D262" s="47" t="s">
        <v>2211</v>
      </c>
      <c r="E262" s="47" t="s">
        <v>2212</v>
      </c>
      <c r="F262" s="47" t="s">
        <v>2213</v>
      </c>
      <c r="G262" s="47" t="str">
        <f>CONCATENATE(TRIM(الجدول2[[#This Row],[الاسم الأول]])," ",TRIM(الجدول2[[#This Row],[اسم الأب]])," ",TRIM(الجدول2[[#This Row],[الكنية]]))</f>
        <v>يانا بسام شاتيلي</v>
      </c>
      <c r="H262" s="47" t="s">
        <v>2214</v>
      </c>
      <c r="I262" s="48" t="s">
        <v>2215</v>
      </c>
      <c r="J262" s="47" t="s">
        <v>58</v>
      </c>
      <c r="K262" s="47" t="s">
        <v>59</v>
      </c>
      <c r="L262" s="47" t="s">
        <v>59</v>
      </c>
      <c r="M262" s="47" t="s">
        <v>60</v>
      </c>
      <c r="N262" s="47" t="s">
        <v>59</v>
      </c>
      <c r="O262" s="49">
        <v>37123</v>
      </c>
      <c r="P262" s="47" t="s">
        <v>2216</v>
      </c>
      <c r="Q262" s="47" t="s">
        <v>179</v>
      </c>
      <c r="R262" s="48" t="s">
        <v>2217</v>
      </c>
      <c r="S262" s="47" t="s">
        <v>65</v>
      </c>
      <c r="T262" s="47"/>
      <c r="U262" s="47"/>
      <c r="V262" s="47" t="s">
        <v>66</v>
      </c>
      <c r="W262" s="47" t="s">
        <v>67</v>
      </c>
      <c r="X262" s="47" t="s">
        <v>68</v>
      </c>
      <c r="Y262" s="47" t="s">
        <v>94</v>
      </c>
      <c r="Z262" s="47" t="s">
        <v>554</v>
      </c>
      <c r="AA262" s="47"/>
      <c r="AB262" s="47" t="s">
        <v>2218</v>
      </c>
      <c r="AC262" s="47" t="s">
        <v>73</v>
      </c>
      <c r="AD262" s="47" t="s">
        <v>74</v>
      </c>
      <c r="AE262" s="49">
        <v>45881</v>
      </c>
      <c r="AF262" s="47" t="s">
        <v>139</v>
      </c>
      <c r="AG262" s="47"/>
      <c r="AH262" s="47" t="s">
        <v>124</v>
      </c>
      <c r="AI262" s="47" t="s">
        <v>182</v>
      </c>
      <c r="AJ262" s="47" t="s">
        <v>591</v>
      </c>
      <c r="AK262" s="47" t="s">
        <v>59</v>
      </c>
      <c r="AL262" s="47" t="s">
        <v>59</v>
      </c>
      <c r="AM262" s="47" t="s">
        <v>99</v>
      </c>
      <c r="AN262" s="47" t="s">
        <v>80</v>
      </c>
      <c r="AO262" s="47"/>
      <c r="AP262" s="47"/>
      <c r="AQ262" s="47" t="s">
        <v>81</v>
      </c>
      <c r="AR262" s="47"/>
      <c r="AS262" s="47" t="s">
        <v>446</v>
      </c>
      <c r="AT262" s="47" t="s">
        <v>182</v>
      </c>
      <c r="AU262" s="47" t="s">
        <v>83</v>
      </c>
      <c r="AV262" s="47" t="s">
        <v>199</v>
      </c>
      <c r="AW262" s="47" t="s">
        <v>2219</v>
      </c>
      <c r="AX262" s="47" t="s">
        <v>591</v>
      </c>
      <c r="AY262" s="49">
        <v>44422</v>
      </c>
      <c r="AZ262" s="47" t="s">
        <v>80</v>
      </c>
      <c r="BA262" s="47"/>
      <c r="BB262" s="47" t="s">
        <v>2359</v>
      </c>
      <c r="BC262" s="47" t="s">
        <v>2542</v>
      </c>
      <c r="BD262" s="47">
        <v>541572020</v>
      </c>
      <c r="BE262" s="47">
        <v>35714</v>
      </c>
      <c r="BF262" s="53">
        <v>905000</v>
      </c>
    </row>
    <row r="263" spans="1:58" s="51" customFormat="1" ht="23.4" hidden="1" x14ac:dyDescent="0.25">
      <c r="A263" s="46">
        <v>262</v>
      </c>
      <c r="B263" s="47">
        <v>45906</v>
      </c>
      <c r="C263" s="47">
        <v>1634509</v>
      </c>
      <c r="D263" s="47" t="s">
        <v>2220</v>
      </c>
      <c r="E263" s="47" t="s">
        <v>2221</v>
      </c>
      <c r="F263" s="47" t="s">
        <v>1137</v>
      </c>
      <c r="G263" s="47" t="str">
        <f>CONCATENATE(TRIM(الجدول2[[#This Row],[الاسم الأول]])," ",TRIM(الجدول2[[#This Row],[اسم الأب]])," ",TRIM(الجدول2[[#This Row],[الكنية]]))</f>
        <v>يسرى هاشم ونوس</v>
      </c>
      <c r="H263" s="47" t="s">
        <v>2222</v>
      </c>
      <c r="I263" s="48" t="s">
        <v>2223</v>
      </c>
      <c r="J263" s="47" t="s">
        <v>58</v>
      </c>
      <c r="K263" s="47" t="s">
        <v>59</v>
      </c>
      <c r="L263" s="47" t="s">
        <v>90</v>
      </c>
      <c r="M263" s="47" t="s">
        <v>91</v>
      </c>
      <c r="N263" s="47" t="s">
        <v>2224</v>
      </c>
      <c r="O263" s="49">
        <v>32051</v>
      </c>
      <c r="P263" s="47" t="s">
        <v>2225</v>
      </c>
      <c r="Q263" s="47" t="s">
        <v>179</v>
      </c>
      <c r="R263" s="48" t="s">
        <v>2226</v>
      </c>
      <c r="S263" s="47" t="s">
        <v>109</v>
      </c>
      <c r="T263" s="47"/>
      <c r="U263" s="47">
        <v>3</v>
      </c>
      <c r="V263" s="47" t="s">
        <v>66</v>
      </c>
      <c r="W263" s="47" t="s">
        <v>67</v>
      </c>
      <c r="X263" s="47" t="s">
        <v>68</v>
      </c>
      <c r="Y263" s="47" t="s">
        <v>137</v>
      </c>
      <c r="Z263" s="47"/>
      <c r="AA263" s="47"/>
      <c r="AB263" s="47" t="s">
        <v>181</v>
      </c>
      <c r="AC263" s="47" t="s">
        <v>73</v>
      </c>
      <c r="AD263" s="47" t="s">
        <v>74</v>
      </c>
      <c r="AE263" s="49">
        <v>41295</v>
      </c>
      <c r="AF263" s="47" t="s">
        <v>123</v>
      </c>
      <c r="AG263" s="47"/>
      <c r="AH263" s="47" t="s">
        <v>124</v>
      </c>
      <c r="AI263" s="47" t="s">
        <v>182</v>
      </c>
      <c r="AJ263" s="47" t="s">
        <v>183</v>
      </c>
      <c r="AK263" s="47" t="s">
        <v>59</v>
      </c>
      <c r="AL263" s="47" t="s">
        <v>90</v>
      </c>
      <c r="AM263" s="47" t="s">
        <v>99</v>
      </c>
      <c r="AN263" s="47" t="s">
        <v>83</v>
      </c>
      <c r="AO263" s="47" t="s">
        <v>2227</v>
      </c>
      <c r="AP263" s="47" t="s">
        <v>2228</v>
      </c>
      <c r="AQ263" s="47" t="s">
        <v>81</v>
      </c>
      <c r="AR263" s="47"/>
      <c r="AS263" s="47" t="s">
        <v>2229</v>
      </c>
      <c r="AT263" s="47" t="s">
        <v>182</v>
      </c>
      <c r="AU263" s="47" t="s">
        <v>83</v>
      </c>
      <c r="AV263" s="47" t="s">
        <v>184</v>
      </c>
      <c r="AW263" s="47" t="s">
        <v>185</v>
      </c>
      <c r="AX263" s="47" t="s">
        <v>186</v>
      </c>
      <c r="AY263" s="49">
        <v>39083</v>
      </c>
      <c r="AZ263" s="47" t="s">
        <v>80</v>
      </c>
      <c r="BA263" s="47" t="s">
        <v>2230</v>
      </c>
      <c r="BB263" s="47" t="s">
        <v>2358</v>
      </c>
      <c r="BC263" s="47" t="s">
        <v>2542</v>
      </c>
      <c r="BD263" s="47">
        <v>526613316</v>
      </c>
      <c r="BE263" s="47">
        <v>14082</v>
      </c>
      <c r="BF263" s="53">
        <v>1243000</v>
      </c>
    </row>
    <row r="264" spans="1:58" s="51" customFormat="1" ht="23.4" hidden="1" x14ac:dyDescent="0.25">
      <c r="A264" s="46">
        <v>263</v>
      </c>
      <c r="B264" s="47">
        <v>10718</v>
      </c>
      <c r="C264" s="47">
        <v>1639600</v>
      </c>
      <c r="D264" s="47" t="s">
        <v>2231</v>
      </c>
      <c r="E264" s="47" t="s">
        <v>2232</v>
      </c>
      <c r="F264" s="47" t="s">
        <v>115</v>
      </c>
      <c r="G264" s="47" t="str">
        <f>CONCATENATE(TRIM(الجدول2[[#This Row],[الاسم الأول]])," ",TRIM(الجدول2[[#This Row],[اسم الأب]])," ",TRIM(الجدول2[[#This Row],[الكنية]]))</f>
        <v>يعقوب رزق محمد</v>
      </c>
      <c r="H264" s="47" t="s">
        <v>2233</v>
      </c>
      <c r="I264" s="48" t="s">
        <v>2234</v>
      </c>
      <c r="J264" s="47" t="s">
        <v>58</v>
      </c>
      <c r="K264" s="47" t="s">
        <v>59</v>
      </c>
      <c r="L264" s="47" t="s">
        <v>59</v>
      </c>
      <c r="M264" s="47" t="s">
        <v>60</v>
      </c>
      <c r="N264" s="47" t="s">
        <v>2235</v>
      </c>
      <c r="O264" s="49">
        <v>32456</v>
      </c>
      <c r="P264" s="47" t="s">
        <v>2236</v>
      </c>
      <c r="Q264" s="47" t="s">
        <v>63</v>
      </c>
      <c r="R264" s="48" t="s">
        <v>2237</v>
      </c>
      <c r="S264" s="47" t="s">
        <v>109</v>
      </c>
      <c r="T264" s="47">
        <v>1</v>
      </c>
      <c r="U264" s="47">
        <v>1</v>
      </c>
      <c r="V264" s="47" t="s">
        <v>66</v>
      </c>
      <c r="W264" s="47" t="s">
        <v>67</v>
      </c>
      <c r="X264" s="47" t="s">
        <v>68</v>
      </c>
      <c r="Y264" s="47" t="s">
        <v>152</v>
      </c>
      <c r="Z264" s="47" t="s">
        <v>349</v>
      </c>
      <c r="AA264" s="47" t="s">
        <v>1345</v>
      </c>
      <c r="AB264" s="47" t="s">
        <v>1285</v>
      </c>
      <c r="AC264" s="47" t="s">
        <v>73</v>
      </c>
      <c r="AD264" s="47" t="s">
        <v>74</v>
      </c>
      <c r="AE264" s="49">
        <v>42186</v>
      </c>
      <c r="AF264" s="47" t="s">
        <v>123</v>
      </c>
      <c r="AG264" s="47"/>
      <c r="AH264" s="47" t="s">
        <v>140</v>
      </c>
      <c r="AI264" s="47" t="s">
        <v>250</v>
      </c>
      <c r="AJ264" s="47"/>
      <c r="AK264" s="47" t="s">
        <v>59</v>
      </c>
      <c r="AL264" s="47" t="s">
        <v>90</v>
      </c>
      <c r="AM264" s="47" t="s">
        <v>79</v>
      </c>
      <c r="AN264" s="47" t="s">
        <v>80</v>
      </c>
      <c r="AO264" s="47"/>
      <c r="AP264" s="47"/>
      <c r="AQ264" s="47" t="s">
        <v>81</v>
      </c>
      <c r="AR264" s="47"/>
      <c r="AS264" s="47" t="s">
        <v>82</v>
      </c>
      <c r="AT264" s="47" t="s">
        <v>250</v>
      </c>
      <c r="AU264" s="47"/>
      <c r="AV264" s="47"/>
      <c r="AW264" s="47"/>
      <c r="AX264" s="47"/>
      <c r="AY264" s="49"/>
      <c r="AZ264" s="47" t="s">
        <v>80</v>
      </c>
      <c r="BA264" s="47"/>
      <c r="BB264" s="47" t="s">
        <v>2358</v>
      </c>
      <c r="BC264" s="47" t="s">
        <v>2542</v>
      </c>
      <c r="BD264" s="47">
        <v>523283891</v>
      </c>
      <c r="BE264" s="47">
        <v>3618</v>
      </c>
      <c r="BF264" s="53">
        <v>1098000</v>
      </c>
    </row>
    <row r="265" spans="1:58" s="51" customFormat="1" ht="23.4" hidden="1" x14ac:dyDescent="0.25">
      <c r="A265" s="46">
        <v>264</v>
      </c>
      <c r="B265" s="47">
        <v>10766</v>
      </c>
      <c r="C265" s="47">
        <v>864518</v>
      </c>
      <c r="D265" s="47" t="s">
        <v>116</v>
      </c>
      <c r="E265" s="47" t="s">
        <v>160</v>
      </c>
      <c r="F265" s="47" t="s">
        <v>1137</v>
      </c>
      <c r="G265" s="47" t="str">
        <f>CONCATENATE(TRIM(الجدول2[[#This Row],[الاسم الأول]])," ",TRIM(الجدول2[[#This Row],[اسم الأب]])," ",TRIM(الجدول2[[#This Row],[الكنية]]))</f>
        <v>يوسف صالح ونوس</v>
      </c>
      <c r="H265" s="47" t="s">
        <v>2238</v>
      </c>
      <c r="I265" s="48" t="s">
        <v>2239</v>
      </c>
      <c r="J265" s="47" t="s">
        <v>58</v>
      </c>
      <c r="K265" s="47" t="s">
        <v>59</v>
      </c>
      <c r="L265" s="47" t="s">
        <v>59</v>
      </c>
      <c r="M265" s="47" t="s">
        <v>60</v>
      </c>
      <c r="N265" s="47" t="s">
        <v>1349</v>
      </c>
      <c r="O265" s="49">
        <v>26799</v>
      </c>
      <c r="P265" s="47" t="s">
        <v>2240</v>
      </c>
      <c r="Q265" s="47" t="s">
        <v>63</v>
      </c>
      <c r="R265" s="48" t="s">
        <v>2241</v>
      </c>
      <c r="S265" s="47" t="s">
        <v>109</v>
      </c>
      <c r="T265" s="47">
        <v>1</v>
      </c>
      <c r="U265" s="47">
        <v>1</v>
      </c>
      <c r="V265" s="47" t="s">
        <v>66</v>
      </c>
      <c r="W265" s="47" t="s">
        <v>67</v>
      </c>
      <c r="X265" s="47" t="s">
        <v>68</v>
      </c>
      <c r="Y265" s="47" t="s">
        <v>501</v>
      </c>
      <c r="Z265" s="47" t="s">
        <v>1364</v>
      </c>
      <c r="AA265" s="47"/>
      <c r="AB265" s="47" t="s">
        <v>2242</v>
      </c>
      <c r="AC265" s="47" t="s">
        <v>73</v>
      </c>
      <c r="AD265" s="47" t="s">
        <v>74</v>
      </c>
      <c r="AE265" s="49">
        <v>36330</v>
      </c>
      <c r="AF265" s="47" t="s">
        <v>123</v>
      </c>
      <c r="AG265" s="47"/>
      <c r="AH265" s="47" t="s">
        <v>2277</v>
      </c>
      <c r="AI265" s="47" t="s">
        <v>327</v>
      </c>
      <c r="AJ265" s="47" t="s">
        <v>686</v>
      </c>
      <c r="AK265" s="47" t="s">
        <v>59</v>
      </c>
      <c r="AL265" s="47" t="s">
        <v>59</v>
      </c>
      <c r="AM265" s="47" t="s">
        <v>79</v>
      </c>
      <c r="AN265" s="47" t="s">
        <v>83</v>
      </c>
      <c r="AO265" s="47" t="s">
        <v>2243</v>
      </c>
      <c r="AP265" s="47" t="s">
        <v>342</v>
      </c>
      <c r="AQ265" s="47" t="s">
        <v>81</v>
      </c>
      <c r="AR265" s="47"/>
      <c r="AS265" s="47" t="s">
        <v>173</v>
      </c>
      <c r="AT265" s="47" t="s">
        <v>327</v>
      </c>
      <c r="AU265" s="47" t="s">
        <v>83</v>
      </c>
      <c r="AV265" s="47" t="s">
        <v>61</v>
      </c>
      <c r="AW265" s="47" t="s">
        <v>686</v>
      </c>
      <c r="AX265" s="47" t="s">
        <v>686</v>
      </c>
      <c r="AY265" s="49">
        <v>34904</v>
      </c>
      <c r="AZ265" s="47" t="s">
        <v>80</v>
      </c>
      <c r="BA265" s="47"/>
      <c r="BB265" s="47" t="s">
        <v>2359</v>
      </c>
      <c r="BC265" s="47" t="s">
        <v>2542</v>
      </c>
      <c r="BD265" s="47">
        <v>523994534</v>
      </c>
      <c r="BE265" s="47">
        <v>5162</v>
      </c>
      <c r="BF265" s="53">
        <v>1409000</v>
      </c>
    </row>
    <row r="266" spans="1:58" s="51" customFormat="1" ht="23.4" hidden="1" x14ac:dyDescent="0.25">
      <c r="A266" s="46">
        <v>265</v>
      </c>
      <c r="B266" s="47"/>
      <c r="C266" s="47"/>
      <c r="D266" s="47" t="s">
        <v>2244</v>
      </c>
      <c r="E266" s="47" t="s">
        <v>558</v>
      </c>
      <c r="F266" s="47" t="s">
        <v>979</v>
      </c>
      <c r="G266" s="47" t="str">
        <f>CONCATENATE(TRIM(الجدول2[[#This Row],[الاسم الأول]])," ",TRIM(الجدول2[[#This Row],[اسم الأب]])," ",TRIM(الجدول2[[#This Row],[الكنية]]))</f>
        <v>إناث حسين زينب</v>
      </c>
      <c r="H266" s="47" t="s">
        <v>2245</v>
      </c>
      <c r="I266" s="48" t="s">
        <v>2246</v>
      </c>
      <c r="J266" s="47" t="s">
        <v>58</v>
      </c>
      <c r="K266" s="47" t="s">
        <v>59</v>
      </c>
      <c r="L266" s="47" t="s">
        <v>59</v>
      </c>
      <c r="M266" s="47" t="s">
        <v>544</v>
      </c>
      <c r="N266" s="47" t="s">
        <v>2247</v>
      </c>
      <c r="O266" s="49">
        <v>31144</v>
      </c>
      <c r="P266" s="47" t="s">
        <v>2248</v>
      </c>
      <c r="Q266" s="47" t="s">
        <v>179</v>
      </c>
      <c r="R266" s="48" t="s">
        <v>2249</v>
      </c>
      <c r="S266" s="47" t="s">
        <v>109</v>
      </c>
      <c r="T266" s="47"/>
      <c r="U266" s="47">
        <v>3</v>
      </c>
      <c r="V266" s="47" t="s">
        <v>66</v>
      </c>
      <c r="W266" s="47" t="s">
        <v>67</v>
      </c>
      <c r="X266" s="47" t="s">
        <v>68</v>
      </c>
      <c r="Y266" s="47" t="s">
        <v>137</v>
      </c>
      <c r="Z266" s="47"/>
      <c r="AA266" s="47"/>
      <c r="AB266" s="47" t="s">
        <v>1864</v>
      </c>
      <c r="AC266" s="47" t="s">
        <v>73</v>
      </c>
      <c r="AD266" s="47" t="s">
        <v>74</v>
      </c>
      <c r="AE266" s="49">
        <v>39873</v>
      </c>
      <c r="AF266" s="47" t="s">
        <v>123</v>
      </c>
      <c r="AG266" s="47"/>
      <c r="AH266" s="47" t="s">
        <v>124</v>
      </c>
      <c r="AI266" s="47" t="s">
        <v>182</v>
      </c>
      <c r="AJ266" s="47" t="s">
        <v>2250</v>
      </c>
      <c r="AK266" s="47" t="s">
        <v>59</v>
      </c>
      <c r="AL266" s="47" t="s">
        <v>59</v>
      </c>
      <c r="AM266" s="47" t="s">
        <v>99</v>
      </c>
      <c r="AN266" s="47" t="s">
        <v>80</v>
      </c>
      <c r="AO266" s="47"/>
      <c r="AP266" s="47"/>
      <c r="AQ266" s="47" t="s">
        <v>81</v>
      </c>
      <c r="AR266" s="47"/>
      <c r="AS266" s="47" t="s">
        <v>173</v>
      </c>
      <c r="AT266" s="47" t="s">
        <v>182</v>
      </c>
      <c r="AU266" s="47" t="s">
        <v>83</v>
      </c>
      <c r="AV266" s="47" t="s">
        <v>184</v>
      </c>
      <c r="AW266" s="47" t="s">
        <v>182</v>
      </c>
      <c r="AX266" s="47" t="s">
        <v>2250</v>
      </c>
      <c r="AY266" s="49">
        <v>38899</v>
      </c>
      <c r="AZ266" s="47" t="s">
        <v>80</v>
      </c>
      <c r="BA266" s="47" t="s">
        <v>2251</v>
      </c>
      <c r="BB266" s="47" t="s">
        <v>2358</v>
      </c>
      <c r="BC266" s="47" t="s">
        <v>2542</v>
      </c>
      <c r="BD266" s="47"/>
      <c r="BE266" s="50"/>
      <c r="BF266" s="53">
        <v>1243000</v>
      </c>
    </row>
    <row r="267" spans="1:58" s="51" customFormat="1" ht="23.4" hidden="1" x14ac:dyDescent="0.25">
      <c r="A267" s="46">
        <v>266</v>
      </c>
      <c r="B267" s="47"/>
      <c r="C267" s="47"/>
      <c r="D267" s="47" t="s">
        <v>382</v>
      </c>
      <c r="E267" s="47" t="s">
        <v>228</v>
      </c>
      <c r="F267" s="47" t="s">
        <v>175</v>
      </c>
      <c r="G267" s="47" t="str">
        <f>CONCATENATE(TRIM(الجدول2[[#This Row],[الاسم الأول]])," ",TRIM(الجدول2[[#This Row],[اسم الأب]])," ",TRIM(الجدول2[[#This Row],[الكنية]]))</f>
        <v>تغريد محمود اسماعيل</v>
      </c>
      <c r="H267" s="47" t="s">
        <v>2252</v>
      </c>
      <c r="I267" s="48" t="s">
        <v>2253</v>
      </c>
      <c r="J267" s="47" t="s">
        <v>58</v>
      </c>
      <c r="K267" s="47" t="s">
        <v>59</v>
      </c>
      <c r="L267" s="47" t="s">
        <v>59</v>
      </c>
      <c r="M267" s="47" t="s">
        <v>406</v>
      </c>
      <c r="N267" s="47" t="s">
        <v>406</v>
      </c>
      <c r="O267" s="49">
        <v>29768</v>
      </c>
      <c r="P267" s="47" t="s">
        <v>2254</v>
      </c>
      <c r="Q267" s="47" t="s">
        <v>179</v>
      </c>
      <c r="R267" s="48" t="s">
        <v>2255</v>
      </c>
      <c r="S267" s="47" t="s">
        <v>109</v>
      </c>
      <c r="T267" s="47"/>
      <c r="U267" s="47">
        <v>2</v>
      </c>
      <c r="V267" s="47" t="s">
        <v>66</v>
      </c>
      <c r="W267" s="47" t="s">
        <v>67</v>
      </c>
      <c r="X267" s="47" t="s">
        <v>68</v>
      </c>
      <c r="Y267" s="47" t="s">
        <v>137</v>
      </c>
      <c r="Z267" s="47"/>
      <c r="AA267" s="47"/>
      <c r="AB267" s="47" t="s">
        <v>223</v>
      </c>
      <c r="AC267" s="47" t="s">
        <v>155</v>
      </c>
      <c r="AD267" s="47" t="s">
        <v>74</v>
      </c>
      <c r="AE267" s="49">
        <v>40671</v>
      </c>
      <c r="AF267" s="47" t="s">
        <v>123</v>
      </c>
      <c r="AG267" s="47"/>
      <c r="AH267" s="47" t="s">
        <v>157</v>
      </c>
      <c r="AI267" s="47" t="s">
        <v>2256</v>
      </c>
      <c r="AJ267" s="47" t="s">
        <v>870</v>
      </c>
      <c r="AK267" s="47" t="s">
        <v>59</v>
      </c>
      <c r="AL267" s="47" t="s">
        <v>59</v>
      </c>
      <c r="AM267" s="47" t="s">
        <v>99</v>
      </c>
      <c r="AN267" s="47" t="s">
        <v>80</v>
      </c>
      <c r="AO267" s="47"/>
      <c r="AP267" s="47"/>
      <c r="AQ267" s="47" t="s">
        <v>81</v>
      </c>
      <c r="AR267" s="47"/>
      <c r="AS267" s="47" t="s">
        <v>173</v>
      </c>
      <c r="AT267" s="47" t="s">
        <v>2256</v>
      </c>
      <c r="AU267" s="47" t="s">
        <v>83</v>
      </c>
      <c r="AV267" s="47" t="s">
        <v>59</v>
      </c>
      <c r="AW267" s="47"/>
      <c r="AX267" s="47"/>
      <c r="AY267" s="49"/>
      <c r="AZ267" s="47" t="s">
        <v>80</v>
      </c>
      <c r="BA267" s="47" t="s">
        <v>2257</v>
      </c>
      <c r="BB267" s="47" t="s">
        <v>2358</v>
      </c>
      <c r="BC267" s="47" t="s">
        <v>2542</v>
      </c>
      <c r="BD267" s="47"/>
      <c r="BE267" s="50"/>
      <c r="BF267" s="53">
        <v>1185000</v>
      </c>
    </row>
    <row r="268" spans="1:58" s="51" customFormat="1" ht="23.4" x14ac:dyDescent="0.25">
      <c r="A268" s="46">
        <v>267</v>
      </c>
      <c r="B268" s="47"/>
      <c r="C268" s="47"/>
      <c r="D268" s="47" t="s">
        <v>661</v>
      </c>
      <c r="E268" s="47" t="s">
        <v>506</v>
      </c>
      <c r="F268" s="47" t="s">
        <v>2258</v>
      </c>
      <c r="G268" s="47" t="str">
        <f>CONCATENATE(TRIM(الجدول2[[#This Row],[الاسم الأول]])," ",TRIM(الجدول2[[#This Row],[اسم الأب]])," ",TRIM(الجدول2[[#This Row],[الكنية]]))</f>
        <v>ديما عيسى عبود</v>
      </c>
      <c r="H268" s="47" t="s">
        <v>2259</v>
      </c>
      <c r="I268" s="48" t="s">
        <v>2260</v>
      </c>
      <c r="J268" s="47" t="s">
        <v>58</v>
      </c>
      <c r="K268" s="47" t="s">
        <v>59</v>
      </c>
      <c r="L268" s="47" t="s">
        <v>59</v>
      </c>
      <c r="M268" s="47" t="s">
        <v>60</v>
      </c>
      <c r="N268" s="47" t="s">
        <v>59</v>
      </c>
      <c r="O268" s="49">
        <v>31072</v>
      </c>
      <c r="P268" s="47" t="s">
        <v>2261</v>
      </c>
      <c r="Q268" s="47" t="s">
        <v>179</v>
      </c>
      <c r="R268" s="48" t="s">
        <v>2262</v>
      </c>
      <c r="S268" s="47"/>
      <c r="T268" s="47"/>
      <c r="U268" s="47"/>
      <c r="V268" s="47" t="s">
        <v>66</v>
      </c>
      <c r="W268" s="47" t="s">
        <v>67</v>
      </c>
      <c r="X268" s="47" t="s">
        <v>68</v>
      </c>
      <c r="Y268" s="47" t="s">
        <v>246</v>
      </c>
      <c r="Z268" s="47"/>
      <c r="AA268" s="47"/>
      <c r="AB268" s="47" t="s">
        <v>491</v>
      </c>
      <c r="AC268" s="47" t="s">
        <v>73</v>
      </c>
      <c r="AD268" s="47" t="s">
        <v>1573</v>
      </c>
      <c r="AE268" s="49">
        <v>40852</v>
      </c>
      <c r="AF268" s="47" t="s">
        <v>123</v>
      </c>
      <c r="AG268" s="47"/>
      <c r="AH268" s="47" t="s">
        <v>124</v>
      </c>
      <c r="AI268" s="47" t="s">
        <v>182</v>
      </c>
      <c r="AJ268" s="47" t="s">
        <v>181</v>
      </c>
      <c r="AK268" s="47"/>
      <c r="AL268" s="47"/>
      <c r="AM268" s="47"/>
      <c r="AN268" s="47"/>
      <c r="AO268" s="47"/>
      <c r="AP268" s="47"/>
      <c r="AQ268" s="47"/>
      <c r="AR268" s="47"/>
      <c r="AS268" s="47"/>
      <c r="AT268" s="47" t="s">
        <v>182</v>
      </c>
      <c r="AU268" s="47" t="s">
        <v>83</v>
      </c>
      <c r="AV268" s="47" t="s">
        <v>59</v>
      </c>
      <c r="AW268" s="47" t="s">
        <v>185</v>
      </c>
      <c r="AX268" s="47" t="s">
        <v>2263</v>
      </c>
      <c r="AY268" s="49"/>
      <c r="AZ268" s="47" t="s">
        <v>80</v>
      </c>
      <c r="BA268" s="47"/>
      <c r="BB268" s="47"/>
      <c r="BC268" s="47" t="s">
        <v>2542</v>
      </c>
      <c r="BD268" s="47"/>
      <c r="BE268" s="50"/>
      <c r="BF268" s="53">
        <v>0</v>
      </c>
    </row>
    <row r="269" spans="1:58" s="51" customFormat="1" ht="23.4" x14ac:dyDescent="0.25">
      <c r="A269" s="46">
        <v>268</v>
      </c>
      <c r="B269" s="47"/>
      <c r="C269" s="47"/>
      <c r="D269" s="47" t="s">
        <v>2264</v>
      </c>
      <c r="E269" s="47" t="s">
        <v>2098</v>
      </c>
      <c r="F269" s="47" t="s">
        <v>979</v>
      </c>
      <c r="G269" s="47" t="str">
        <f>CONCATENATE(TRIM(الجدول2[[#This Row],[الاسم الأول]])," ",TRIM(الجدول2[[#This Row],[اسم الأب]])," ",TRIM(الجدول2[[#This Row],[الكنية]]))</f>
        <v>ديما نزيه زينب</v>
      </c>
      <c r="H269" s="47" t="s">
        <v>2265</v>
      </c>
      <c r="I269" s="48" t="s">
        <v>2266</v>
      </c>
      <c r="J269" s="47" t="s">
        <v>58</v>
      </c>
      <c r="K269" s="47" t="s">
        <v>59</v>
      </c>
      <c r="L269" s="47" t="s">
        <v>59</v>
      </c>
      <c r="M269" s="47" t="s">
        <v>60</v>
      </c>
      <c r="N269" s="47" t="s">
        <v>2267</v>
      </c>
      <c r="O269" s="49">
        <v>33267</v>
      </c>
      <c r="P269" s="47" t="s">
        <v>2268</v>
      </c>
      <c r="Q269" s="47" t="s">
        <v>179</v>
      </c>
      <c r="R269" s="48" t="s">
        <v>2269</v>
      </c>
      <c r="S269" s="47"/>
      <c r="T269" s="47"/>
      <c r="U269" s="47"/>
      <c r="V269" s="47" t="s">
        <v>66</v>
      </c>
      <c r="W269" s="47" t="s">
        <v>67</v>
      </c>
      <c r="X269" s="47" t="s">
        <v>68</v>
      </c>
      <c r="Y269" s="47" t="s">
        <v>1382</v>
      </c>
      <c r="Z269" s="47"/>
      <c r="AA269" s="47"/>
      <c r="AB269" s="47" t="s">
        <v>491</v>
      </c>
      <c r="AC269" s="47" t="s">
        <v>73</v>
      </c>
      <c r="AD269" s="47" t="s">
        <v>1573</v>
      </c>
      <c r="AE269" s="49">
        <v>41447</v>
      </c>
      <c r="AF269" s="47" t="s">
        <v>123</v>
      </c>
      <c r="AG269" s="47"/>
      <c r="AH269" s="47" t="s">
        <v>124</v>
      </c>
      <c r="AI269" s="47" t="s">
        <v>182</v>
      </c>
      <c r="AJ269" s="47" t="s">
        <v>181</v>
      </c>
      <c r="AK269" s="47"/>
      <c r="AL269" s="47"/>
      <c r="AM269" s="47"/>
      <c r="AN269" s="47"/>
      <c r="AO269" s="47"/>
      <c r="AP269" s="47"/>
      <c r="AQ269" s="47"/>
      <c r="AR269" s="47"/>
      <c r="AS269" s="47"/>
      <c r="AT269" s="47" t="s">
        <v>182</v>
      </c>
      <c r="AU269" s="47" t="s">
        <v>83</v>
      </c>
      <c r="AV269" s="47" t="s">
        <v>59</v>
      </c>
      <c r="AW269" s="47" t="s">
        <v>185</v>
      </c>
      <c r="AX269" s="47" t="s">
        <v>2270</v>
      </c>
      <c r="AY269" s="49">
        <v>39621</v>
      </c>
      <c r="AZ269" s="47" t="s">
        <v>80</v>
      </c>
      <c r="BA269" s="47"/>
      <c r="BB269" s="47"/>
      <c r="BC269" s="47" t="s">
        <v>2542</v>
      </c>
      <c r="BD269" s="47"/>
      <c r="BE269" s="50"/>
      <c r="BF269" s="53">
        <v>0</v>
      </c>
    </row>
    <row r="270" spans="1:58" s="51" customFormat="1" ht="23.4" hidden="1" x14ac:dyDescent="0.25">
      <c r="A270" s="46">
        <v>269</v>
      </c>
      <c r="B270" s="47"/>
      <c r="C270" s="47"/>
      <c r="D270" s="47" t="s">
        <v>2271</v>
      </c>
      <c r="E270" s="47" t="s">
        <v>1324</v>
      </c>
      <c r="F270" s="47" t="s">
        <v>817</v>
      </c>
      <c r="G270" s="47" t="str">
        <f>CONCATENATE(TRIM(الجدول2[[#This Row],[الاسم الأول]])," ",TRIM(الجدول2[[#This Row],[اسم الأب]])," ",TRIM(الجدول2[[#This Row],[الكنية]]))</f>
        <v>رزان محسن مرهج</v>
      </c>
      <c r="H270" s="47" t="s">
        <v>2272</v>
      </c>
      <c r="I270" s="48" t="s">
        <v>2273</v>
      </c>
      <c r="J270" s="47" t="s">
        <v>58</v>
      </c>
      <c r="K270" s="47" t="s">
        <v>59</v>
      </c>
      <c r="L270" s="47" t="s">
        <v>90</v>
      </c>
      <c r="M270" s="47" t="s">
        <v>298</v>
      </c>
      <c r="N270" s="47" t="s">
        <v>2274</v>
      </c>
      <c r="O270" s="49">
        <v>30071</v>
      </c>
      <c r="P270" s="47" t="s">
        <v>2275</v>
      </c>
      <c r="Q270" s="47" t="s">
        <v>179</v>
      </c>
      <c r="R270" s="48" t="s">
        <v>2276</v>
      </c>
      <c r="S270" s="47" t="s">
        <v>109</v>
      </c>
      <c r="T270" s="47"/>
      <c r="U270" s="47">
        <v>2</v>
      </c>
      <c r="V270" s="47" t="s">
        <v>66</v>
      </c>
      <c r="W270" s="47" t="s">
        <v>67</v>
      </c>
      <c r="X270" s="47" t="s">
        <v>68</v>
      </c>
      <c r="Y270" s="47" t="s">
        <v>137</v>
      </c>
      <c r="Z270" s="47"/>
      <c r="AA270" s="47"/>
      <c r="AB270" s="47" t="s">
        <v>491</v>
      </c>
      <c r="AC270" s="47" t="s">
        <v>73</v>
      </c>
      <c r="AD270" s="47" t="s">
        <v>74</v>
      </c>
      <c r="AE270" s="49">
        <v>40860</v>
      </c>
      <c r="AF270" s="47" t="s">
        <v>139</v>
      </c>
      <c r="AG270" s="47"/>
      <c r="AH270" s="47" t="s">
        <v>2277</v>
      </c>
      <c r="AI270" s="47" t="s">
        <v>327</v>
      </c>
      <c r="AJ270" s="47" t="s">
        <v>453</v>
      </c>
      <c r="AK270" s="47"/>
      <c r="AL270" s="47"/>
      <c r="AM270" s="47"/>
      <c r="AN270" s="47"/>
      <c r="AO270" s="47"/>
      <c r="AP270" s="47"/>
      <c r="AQ270" s="47"/>
      <c r="AR270" s="47"/>
      <c r="AS270" s="47"/>
      <c r="AT270" s="47" t="s">
        <v>2278</v>
      </c>
      <c r="AU270" s="47" t="s">
        <v>83</v>
      </c>
      <c r="AV270" s="47" t="s">
        <v>184</v>
      </c>
      <c r="AW270" s="47" t="s">
        <v>1788</v>
      </c>
      <c r="AX270" s="47" t="s">
        <v>2279</v>
      </c>
      <c r="AY270" s="49">
        <v>39771</v>
      </c>
      <c r="AZ270" s="47" t="s">
        <v>80</v>
      </c>
      <c r="BA270" s="47" t="s">
        <v>2280</v>
      </c>
      <c r="BB270" s="47" t="s">
        <v>2358</v>
      </c>
      <c r="BC270" s="47" t="s">
        <v>2542</v>
      </c>
      <c r="BD270" s="47"/>
      <c r="BE270" s="50"/>
      <c r="BF270" s="53">
        <v>1354293</v>
      </c>
    </row>
    <row r="271" spans="1:58" s="51" customFormat="1" ht="23.4" x14ac:dyDescent="0.25">
      <c r="A271" s="46">
        <v>270</v>
      </c>
      <c r="B271" s="47"/>
      <c r="C271" s="47"/>
      <c r="D271" s="47" t="s">
        <v>2271</v>
      </c>
      <c r="E271" s="47" t="s">
        <v>115</v>
      </c>
      <c r="F271" s="47" t="s">
        <v>2281</v>
      </c>
      <c r="G271" s="47" t="str">
        <f>CONCATENATE(TRIM(الجدول2[[#This Row],[الاسم الأول]])," ",TRIM(الجدول2[[#This Row],[اسم الأب]])," ",TRIM(الجدول2[[#This Row],[الكنية]]))</f>
        <v>رزان محمد زغيبي</v>
      </c>
      <c r="H271" s="47" t="s">
        <v>2282</v>
      </c>
      <c r="I271" s="48" t="s">
        <v>2283</v>
      </c>
      <c r="J271" s="47" t="s">
        <v>58</v>
      </c>
      <c r="K271" s="47" t="s">
        <v>59</v>
      </c>
      <c r="L271" s="47" t="s">
        <v>78</v>
      </c>
      <c r="M271" s="47" t="s">
        <v>414</v>
      </c>
      <c r="N271" s="47" t="s">
        <v>59</v>
      </c>
      <c r="O271" s="49">
        <v>33178</v>
      </c>
      <c r="P271" s="47" t="s">
        <v>2284</v>
      </c>
      <c r="Q271" s="47" t="s">
        <v>179</v>
      </c>
      <c r="R271" s="48" t="s">
        <v>2285</v>
      </c>
      <c r="S271" s="47"/>
      <c r="T271" s="47"/>
      <c r="U271" s="47"/>
      <c r="V271" s="47" t="s">
        <v>2286</v>
      </c>
      <c r="W271" s="47" t="s">
        <v>2287</v>
      </c>
      <c r="X271" s="47" t="s">
        <v>526</v>
      </c>
      <c r="Y271" s="47" t="s">
        <v>797</v>
      </c>
      <c r="Z271" s="47"/>
      <c r="AA271" s="47"/>
      <c r="AB271" s="47" t="s">
        <v>72</v>
      </c>
      <c r="AC271" s="47" t="s">
        <v>73</v>
      </c>
      <c r="AD271" s="47" t="s">
        <v>1573</v>
      </c>
      <c r="AE271" s="49">
        <v>41933</v>
      </c>
      <c r="AF271" s="47" t="s">
        <v>75</v>
      </c>
      <c r="AG271" s="47"/>
      <c r="AH271" s="47" t="s">
        <v>2277</v>
      </c>
      <c r="AI271" s="47" t="s">
        <v>76</v>
      </c>
      <c r="AJ271" s="47" t="s">
        <v>277</v>
      </c>
      <c r="AK271" s="47"/>
      <c r="AL271" s="47"/>
      <c r="AM271" s="47"/>
      <c r="AN271" s="47"/>
      <c r="AO271" s="47"/>
      <c r="AP271" s="47"/>
      <c r="AQ271" s="47"/>
      <c r="AR271" s="47"/>
      <c r="AS271" s="47"/>
      <c r="AT271" s="47" t="s">
        <v>2288</v>
      </c>
      <c r="AU271" s="47" t="s">
        <v>83</v>
      </c>
      <c r="AV271" s="47" t="s">
        <v>184</v>
      </c>
      <c r="AW271" s="47" t="s">
        <v>277</v>
      </c>
      <c r="AX271" s="47" t="s">
        <v>913</v>
      </c>
      <c r="AY271" s="49"/>
      <c r="AZ271" s="47" t="s">
        <v>80</v>
      </c>
      <c r="BA271" s="47"/>
      <c r="BB271" s="47"/>
      <c r="BC271" s="47" t="s">
        <v>2542</v>
      </c>
      <c r="BD271" s="47"/>
      <c r="BE271" s="50"/>
      <c r="BF271" s="53">
        <v>0</v>
      </c>
    </row>
    <row r="272" spans="1:58" s="51" customFormat="1" ht="23.4" x14ac:dyDescent="0.25">
      <c r="A272" s="46">
        <v>271</v>
      </c>
      <c r="B272" s="47"/>
      <c r="C272" s="47"/>
      <c r="D272" s="47" t="s">
        <v>2289</v>
      </c>
      <c r="E272" s="47" t="s">
        <v>826</v>
      </c>
      <c r="F272" s="47" t="s">
        <v>1386</v>
      </c>
      <c r="G272" s="47" t="str">
        <f>CONCATENATE(TRIM(الجدول2[[#This Row],[الاسم الأول]])," ",TRIM(الجدول2[[#This Row],[اسم الأب]])," ",TRIM(الجدول2[[#This Row],[الكنية]]))</f>
        <v>رستم نديم شدود</v>
      </c>
      <c r="H272" s="47" t="s">
        <v>2290</v>
      </c>
      <c r="I272" s="48" t="s">
        <v>2291</v>
      </c>
      <c r="J272" s="47" t="s">
        <v>58</v>
      </c>
      <c r="K272" s="47" t="s">
        <v>59</v>
      </c>
      <c r="L272" s="47" t="s">
        <v>90</v>
      </c>
      <c r="M272" s="47" t="s">
        <v>91</v>
      </c>
      <c r="N272" s="47" t="s">
        <v>59</v>
      </c>
      <c r="O272" s="49">
        <v>31503</v>
      </c>
      <c r="P272" s="47" t="s">
        <v>2292</v>
      </c>
      <c r="Q272" s="47" t="s">
        <v>63</v>
      </c>
      <c r="R272" s="48" t="s">
        <v>2293</v>
      </c>
      <c r="S272" s="47"/>
      <c r="T272" s="47"/>
      <c r="U272" s="47"/>
      <c r="V272" s="47" t="s">
        <v>2286</v>
      </c>
      <c r="W272" s="47" t="s">
        <v>2287</v>
      </c>
      <c r="X272" s="47" t="s">
        <v>526</v>
      </c>
      <c r="Y272" s="47" t="s">
        <v>246</v>
      </c>
      <c r="Z272" s="47"/>
      <c r="AA272" s="47"/>
      <c r="AB272" s="47" t="s">
        <v>491</v>
      </c>
      <c r="AC272" s="47" t="s">
        <v>73</v>
      </c>
      <c r="AD272" s="47" t="s">
        <v>1573</v>
      </c>
      <c r="AE272" s="49">
        <v>41294</v>
      </c>
      <c r="AF272" s="47" t="s">
        <v>123</v>
      </c>
      <c r="AG272" s="47"/>
      <c r="AH272" s="47" t="s">
        <v>124</v>
      </c>
      <c r="AI272" s="47" t="s">
        <v>182</v>
      </c>
      <c r="AJ272" s="47" t="s">
        <v>2294</v>
      </c>
      <c r="AK272" s="47"/>
      <c r="AL272" s="47"/>
      <c r="AM272" s="47"/>
      <c r="AN272" s="47"/>
      <c r="AO272" s="47"/>
      <c r="AP272" s="47"/>
      <c r="AQ272" s="47"/>
      <c r="AR272" s="47"/>
      <c r="AS272" s="47" t="s">
        <v>82</v>
      </c>
      <c r="AT272" s="47" t="s">
        <v>182</v>
      </c>
      <c r="AU272" s="47" t="s">
        <v>83</v>
      </c>
      <c r="AV272" s="47" t="s">
        <v>61</v>
      </c>
      <c r="AW272" s="47" t="s">
        <v>182</v>
      </c>
      <c r="AX272" s="47" t="s">
        <v>2250</v>
      </c>
      <c r="AY272" s="49">
        <v>40834</v>
      </c>
      <c r="AZ272" s="47" t="s">
        <v>80</v>
      </c>
      <c r="BA272" s="47"/>
      <c r="BB272" s="47"/>
      <c r="BC272" s="47" t="s">
        <v>2542</v>
      </c>
      <c r="BD272" s="47"/>
      <c r="BE272" s="50"/>
      <c r="BF272" s="53">
        <v>0</v>
      </c>
    </row>
    <row r="273" spans="1:58" s="51" customFormat="1" ht="23.4" x14ac:dyDescent="0.25">
      <c r="A273" s="46">
        <v>272</v>
      </c>
      <c r="B273" s="47"/>
      <c r="C273" s="47"/>
      <c r="D273" s="47" t="s">
        <v>2295</v>
      </c>
      <c r="E273" s="47" t="s">
        <v>115</v>
      </c>
      <c r="F273" s="47" t="s">
        <v>2296</v>
      </c>
      <c r="G273" s="47" t="str">
        <f>CONCATENATE(TRIM(الجدول2[[#This Row],[الاسم الأول]])," ",TRIM(الجدول2[[#This Row],[اسم الأب]])," ",TRIM(الجدول2[[#This Row],[الكنية]]))</f>
        <v>رفيف محمد خانجي</v>
      </c>
      <c r="H273" s="47" t="s">
        <v>2297</v>
      </c>
      <c r="I273" s="48" t="s">
        <v>2298</v>
      </c>
      <c r="J273" s="47" t="s">
        <v>58</v>
      </c>
      <c r="K273" s="47" t="s">
        <v>790</v>
      </c>
      <c r="L273" s="47"/>
      <c r="M273" s="47"/>
      <c r="N273" s="47" t="s">
        <v>790</v>
      </c>
      <c r="O273" s="49">
        <v>28241</v>
      </c>
      <c r="P273" s="47" t="s">
        <v>2299</v>
      </c>
      <c r="Q273" s="47" t="s">
        <v>179</v>
      </c>
      <c r="R273" s="48" t="s">
        <v>2300</v>
      </c>
      <c r="S273" s="47"/>
      <c r="T273" s="47"/>
      <c r="U273" s="47"/>
      <c r="V273" s="47" t="s">
        <v>2286</v>
      </c>
      <c r="W273" s="47" t="s">
        <v>2287</v>
      </c>
      <c r="X273" s="47" t="s">
        <v>526</v>
      </c>
      <c r="Y273" s="47"/>
      <c r="Z273" s="47"/>
      <c r="AA273" s="47"/>
      <c r="AB273" s="47"/>
      <c r="AC273" s="47" t="s">
        <v>73</v>
      </c>
      <c r="AD273" s="47" t="s">
        <v>1573</v>
      </c>
      <c r="AE273" s="49">
        <v>37502</v>
      </c>
      <c r="AF273" s="47"/>
      <c r="AG273" s="47"/>
      <c r="AH273" s="47" t="s">
        <v>124</v>
      </c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9"/>
      <c r="AZ273" s="47" t="s">
        <v>80</v>
      </c>
      <c r="BA273" s="47" t="s">
        <v>1164</v>
      </c>
      <c r="BB273" s="47"/>
      <c r="BC273" s="47" t="s">
        <v>2542</v>
      </c>
      <c r="BD273" s="47"/>
      <c r="BE273" s="50"/>
      <c r="BF273" s="53">
        <v>0</v>
      </c>
    </row>
    <row r="274" spans="1:58" s="51" customFormat="1" ht="23.4" x14ac:dyDescent="0.25">
      <c r="A274" s="46">
        <v>273</v>
      </c>
      <c r="B274" s="47"/>
      <c r="C274" s="47"/>
      <c r="D274" s="47" t="s">
        <v>2301</v>
      </c>
      <c r="E274" s="47" t="s">
        <v>86</v>
      </c>
      <c r="F274" s="47" t="s">
        <v>2091</v>
      </c>
      <c r="G274" s="47" t="str">
        <f>CONCATENATE(TRIM(الجدول2[[#This Row],[الاسم الأول]])," ",TRIM(الجدول2[[#This Row],[اسم الأب]])," ",TRIM(الجدول2[[#This Row],[الكنية]]))</f>
        <v>رنيم احمد زيدان</v>
      </c>
      <c r="H274" s="47" t="s">
        <v>2302</v>
      </c>
      <c r="I274" s="48" t="s">
        <v>2303</v>
      </c>
      <c r="J274" s="47" t="s">
        <v>58</v>
      </c>
      <c r="K274" s="47" t="s">
        <v>59</v>
      </c>
      <c r="L274" s="47" t="s">
        <v>59</v>
      </c>
      <c r="M274" s="47" t="s">
        <v>60</v>
      </c>
      <c r="N274" s="47" t="s">
        <v>59</v>
      </c>
      <c r="O274" s="49">
        <v>33239</v>
      </c>
      <c r="P274" s="47" t="s">
        <v>2304</v>
      </c>
      <c r="Q274" s="47" t="s">
        <v>179</v>
      </c>
      <c r="R274" s="48" t="s">
        <v>2305</v>
      </c>
      <c r="S274" s="47" t="s">
        <v>65</v>
      </c>
      <c r="T274" s="47"/>
      <c r="U274" s="47"/>
      <c r="V274" s="47" t="s">
        <v>2286</v>
      </c>
      <c r="W274" s="47" t="s">
        <v>2287</v>
      </c>
      <c r="X274" s="47" t="s">
        <v>526</v>
      </c>
      <c r="Y274" s="47" t="s">
        <v>797</v>
      </c>
      <c r="Z274" s="47"/>
      <c r="AA274" s="47"/>
      <c r="AB274" s="47" t="s">
        <v>72</v>
      </c>
      <c r="AC274" s="47" t="s">
        <v>73</v>
      </c>
      <c r="AD274" s="47" t="s">
        <v>1573</v>
      </c>
      <c r="AE274" s="49">
        <v>42894</v>
      </c>
      <c r="AF274" s="47" t="s">
        <v>75</v>
      </c>
      <c r="AG274" s="47"/>
      <c r="AH274" s="47" t="s">
        <v>2277</v>
      </c>
      <c r="AI274" s="47" t="s">
        <v>76</v>
      </c>
      <c r="AJ274" s="47" t="s">
        <v>277</v>
      </c>
      <c r="AK274" s="47"/>
      <c r="AL274" s="47"/>
      <c r="AM274" s="47"/>
      <c r="AN274" s="47"/>
      <c r="AO274" s="47"/>
      <c r="AP274" s="47"/>
      <c r="AQ274" s="47"/>
      <c r="AR274" s="47"/>
      <c r="AS274" s="47"/>
      <c r="AT274" s="47" t="s">
        <v>2306</v>
      </c>
      <c r="AU274" s="47" t="s">
        <v>83</v>
      </c>
      <c r="AV274" s="47" t="s">
        <v>2307</v>
      </c>
      <c r="AW274" s="47" t="s">
        <v>277</v>
      </c>
      <c r="AX274" s="47" t="s">
        <v>913</v>
      </c>
      <c r="AY274" s="49">
        <v>42724</v>
      </c>
      <c r="AZ274" s="47" t="s">
        <v>80</v>
      </c>
      <c r="BA274" s="47"/>
      <c r="BB274" s="47"/>
      <c r="BC274" s="47" t="s">
        <v>2542</v>
      </c>
      <c r="BD274" s="47"/>
      <c r="BE274" s="50"/>
      <c r="BF274" s="53">
        <v>0</v>
      </c>
    </row>
    <row r="275" spans="1:58" s="51" customFormat="1" ht="23.4" hidden="1" x14ac:dyDescent="0.25">
      <c r="A275" s="46">
        <v>274</v>
      </c>
      <c r="B275" s="47"/>
      <c r="C275" s="47"/>
      <c r="D275" s="47" t="s">
        <v>1000</v>
      </c>
      <c r="E275" s="47" t="s">
        <v>559</v>
      </c>
      <c r="F275" s="47" t="s">
        <v>2258</v>
      </c>
      <c r="G275" s="47" t="str">
        <f>CONCATENATE(TRIM(الجدول2[[#This Row],[الاسم الأول]])," ",TRIM(الجدول2[[#This Row],[اسم الأب]])," ",TRIM(الجدول2[[#This Row],[الكنية]]))</f>
        <v>سامر عدنان عبود</v>
      </c>
      <c r="H275" s="47" t="s">
        <v>2308</v>
      </c>
      <c r="I275" s="48" t="s">
        <v>2309</v>
      </c>
      <c r="J275" s="47" t="s">
        <v>58</v>
      </c>
      <c r="K275" s="47" t="s">
        <v>59</v>
      </c>
      <c r="L275" s="47" t="s">
        <v>90</v>
      </c>
      <c r="M275" s="47" t="s">
        <v>91</v>
      </c>
      <c r="N275" s="47" t="s">
        <v>2310</v>
      </c>
      <c r="O275" s="49">
        <v>30657</v>
      </c>
      <c r="P275" s="47" t="s">
        <v>2311</v>
      </c>
      <c r="Q275" s="47" t="s">
        <v>63</v>
      </c>
      <c r="R275" s="48" t="s">
        <v>2262</v>
      </c>
      <c r="S275" s="47" t="s">
        <v>109</v>
      </c>
      <c r="T275" s="47">
        <v>1</v>
      </c>
      <c r="U275" s="47">
        <v>1</v>
      </c>
      <c r="V275" s="47" t="s">
        <v>2286</v>
      </c>
      <c r="W275" s="47" t="s">
        <v>2287</v>
      </c>
      <c r="X275" s="47" t="s">
        <v>526</v>
      </c>
      <c r="Y275" s="47" t="s">
        <v>210</v>
      </c>
      <c r="Z275" s="47"/>
      <c r="AA275" s="47"/>
      <c r="AB275" s="47" t="s">
        <v>491</v>
      </c>
      <c r="AC275" s="47" t="s">
        <v>73</v>
      </c>
      <c r="AD275" s="47" t="s">
        <v>74</v>
      </c>
      <c r="AE275" s="49">
        <v>41294</v>
      </c>
      <c r="AF275" s="47" t="s">
        <v>123</v>
      </c>
      <c r="AG275" s="47"/>
      <c r="AH275" s="47" t="s">
        <v>1007</v>
      </c>
      <c r="AI275" s="47" t="s">
        <v>143</v>
      </c>
      <c r="AJ275" s="47"/>
      <c r="AK275" s="47" t="s">
        <v>59</v>
      </c>
      <c r="AL275" s="47" t="s">
        <v>59</v>
      </c>
      <c r="AM275" s="47" t="s">
        <v>99</v>
      </c>
      <c r="AN275" s="47" t="s">
        <v>83</v>
      </c>
      <c r="AO275" s="47" t="s">
        <v>2312</v>
      </c>
      <c r="AP275" s="47" t="s">
        <v>342</v>
      </c>
      <c r="AQ275" s="47" t="s">
        <v>81</v>
      </c>
      <c r="AR275" s="47"/>
      <c r="AS275" s="47" t="s">
        <v>82</v>
      </c>
      <c r="AT275" s="47" t="s">
        <v>128</v>
      </c>
      <c r="AU275" s="47" t="s">
        <v>83</v>
      </c>
      <c r="AV275" s="47" t="s">
        <v>59</v>
      </c>
      <c r="AW275" s="47"/>
      <c r="AX275" s="47" t="s">
        <v>2313</v>
      </c>
      <c r="AY275" s="49">
        <v>37073</v>
      </c>
      <c r="AZ275" s="47" t="s">
        <v>80</v>
      </c>
      <c r="BA275" s="47"/>
      <c r="BB275" s="47" t="s">
        <v>2359</v>
      </c>
      <c r="BC275" s="47" t="s">
        <v>2542</v>
      </c>
      <c r="BD275" s="47"/>
      <c r="BE275" s="50"/>
      <c r="BF275" s="53">
        <v>1185000</v>
      </c>
    </row>
    <row r="276" spans="1:58" s="51" customFormat="1" ht="23.4" hidden="1" x14ac:dyDescent="0.25">
      <c r="A276" s="46">
        <v>275</v>
      </c>
      <c r="B276" s="47"/>
      <c r="C276" s="47"/>
      <c r="D276" s="47" t="s">
        <v>2314</v>
      </c>
      <c r="E276" s="47" t="s">
        <v>131</v>
      </c>
      <c r="F276" s="47" t="s">
        <v>55</v>
      </c>
      <c r="G276" s="47" t="str">
        <f>CONCATENATE(TRIM(الجدول2[[#This Row],[الاسم الأول]])," ",TRIM(الجدول2[[#This Row],[اسم الأب]])," ",TRIM(الجدول2[[#This Row],[الكنية]]))</f>
        <v>سامية علي حسن</v>
      </c>
      <c r="H276" s="47" t="s">
        <v>2315</v>
      </c>
      <c r="I276" s="48" t="s">
        <v>2316</v>
      </c>
      <c r="J276" s="47" t="s">
        <v>58</v>
      </c>
      <c r="K276" s="47" t="s">
        <v>59</v>
      </c>
      <c r="L276" s="47" t="s">
        <v>59</v>
      </c>
      <c r="M276" s="47" t="s">
        <v>406</v>
      </c>
      <c r="N276" s="47" t="s">
        <v>1709</v>
      </c>
      <c r="O276" s="49">
        <v>24294</v>
      </c>
      <c r="P276" s="47" t="s">
        <v>2317</v>
      </c>
      <c r="Q276" s="47" t="s">
        <v>179</v>
      </c>
      <c r="R276" s="48" t="s">
        <v>2318</v>
      </c>
      <c r="S276" s="47" t="s">
        <v>65</v>
      </c>
      <c r="T276" s="47"/>
      <c r="U276" s="47"/>
      <c r="V276" s="47" t="s">
        <v>2286</v>
      </c>
      <c r="W276" s="47" t="s">
        <v>2287</v>
      </c>
      <c r="X276" s="47" t="s">
        <v>526</v>
      </c>
      <c r="Y276" s="47" t="s">
        <v>169</v>
      </c>
      <c r="Z276" s="47"/>
      <c r="AA276" s="47"/>
      <c r="AB276" s="47" t="s">
        <v>642</v>
      </c>
      <c r="AC276" s="47" t="s">
        <v>155</v>
      </c>
      <c r="AD276" s="47" t="s">
        <v>74</v>
      </c>
      <c r="AE276" s="49">
        <v>44054</v>
      </c>
      <c r="AF276" s="47" t="s">
        <v>139</v>
      </c>
      <c r="AG276" s="47"/>
      <c r="AH276" s="47" t="s">
        <v>140</v>
      </c>
      <c r="AI276" s="47" t="s">
        <v>143</v>
      </c>
      <c r="AJ276" s="47"/>
      <c r="AK276" s="47" t="s">
        <v>59</v>
      </c>
      <c r="AL276" s="47" t="s">
        <v>59</v>
      </c>
      <c r="AM276" s="47" t="s">
        <v>99</v>
      </c>
      <c r="AN276" s="47"/>
      <c r="AO276" s="47"/>
      <c r="AP276" s="47"/>
      <c r="AQ276" s="47" t="s">
        <v>81</v>
      </c>
      <c r="AR276" s="47"/>
      <c r="AS276" s="47" t="s">
        <v>173</v>
      </c>
      <c r="AT276" s="47" t="s">
        <v>128</v>
      </c>
      <c r="AU276" s="47" t="s">
        <v>83</v>
      </c>
      <c r="AV276" s="47"/>
      <c r="AW276" s="47"/>
      <c r="AX276" s="47"/>
      <c r="AY276" s="49">
        <v>31229</v>
      </c>
      <c r="AZ276" s="47" t="s">
        <v>80</v>
      </c>
      <c r="BA276" s="47"/>
      <c r="BB276" s="47" t="s">
        <v>2359</v>
      </c>
      <c r="BC276" s="47" t="s">
        <v>2542</v>
      </c>
      <c r="BD276" s="47"/>
      <c r="BE276" s="50"/>
      <c r="BF276" s="53">
        <v>994128</v>
      </c>
    </row>
    <row r="277" spans="1:58" s="51" customFormat="1" ht="23.4" hidden="1" x14ac:dyDescent="0.25">
      <c r="A277" s="46">
        <v>276</v>
      </c>
      <c r="B277" s="47"/>
      <c r="C277" s="47"/>
      <c r="D277" s="47" t="s">
        <v>1043</v>
      </c>
      <c r="E277" s="47" t="s">
        <v>930</v>
      </c>
      <c r="F277" s="47" t="s">
        <v>930</v>
      </c>
      <c r="G277" s="47" t="str">
        <f>CONCATENATE(TRIM(الجدول2[[#This Row],[الاسم الأول]])," ",TRIM(الجدول2[[#This Row],[اسم الأب]])," ",TRIM(الجدول2[[#This Row],[الكنية]]))</f>
        <v>سلوى مصطفى مصطفى</v>
      </c>
      <c r="H277" s="47" t="s">
        <v>2319</v>
      </c>
      <c r="I277" s="48" t="s">
        <v>2320</v>
      </c>
      <c r="J277" s="47" t="s">
        <v>58</v>
      </c>
      <c r="K277" s="47" t="s">
        <v>59</v>
      </c>
      <c r="L277" s="47" t="s">
        <v>164</v>
      </c>
      <c r="M277" s="47" t="s">
        <v>165</v>
      </c>
      <c r="N277" s="47" t="s">
        <v>164</v>
      </c>
      <c r="O277" s="49">
        <v>25202</v>
      </c>
      <c r="P277" s="47" t="s">
        <v>2321</v>
      </c>
      <c r="Q277" s="47" t="s">
        <v>179</v>
      </c>
      <c r="R277" s="48" t="s">
        <v>2322</v>
      </c>
      <c r="S277" s="47" t="s">
        <v>65</v>
      </c>
      <c r="T277" s="47"/>
      <c r="U277" s="47"/>
      <c r="V277" s="47" t="s">
        <v>2286</v>
      </c>
      <c r="W277" s="47" t="s">
        <v>2287</v>
      </c>
      <c r="X277" s="47" t="s">
        <v>526</v>
      </c>
      <c r="Y277" s="47" t="s">
        <v>169</v>
      </c>
      <c r="Z277" s="47"/>
      <c r="AA277" s="47"/>
      <c r="AB277" s="47" t="s">
        <v>642</v>
      </c>
      <c r="AC277" s="47" t="s">
        <v>155</v>
      </c>
      <c r="AD277" s="47" t="s">
        <v>74</v>
      </c>
      <c r="AE277" s="49">
        <v>43905</v>
      </c>
      <c r="AF277" s="47" t="s">
        <v>139</v>
      </c>
      <c r="AG277" s="47"/>
      <c r="AH277" s="47" t="s">
        <v>140</v>
      </c>
      <c r="AI277" s="47" t="s">
        <v>2323</v>
      </c>
      <c r="AJ277" s="47"/>
      <c r="AK277" s="47" t="s">
        <v>59</v>
      </c>
      <c r="AL277" s="47" t="s">
        <v>59</v>
      </c>
      <c r="AM277" s="47" t="s">
        <v>2324</v>
      </c>
      <c r="AN277" s="47"/>
      <c r="AO277" s="47"/>
      <c r="AP277" s="47"/>
      <c r="AQ277" s="47" t="s">
        <v>81</v>
      </c>
      <c r="AR277" s="47"/>
      <c r="AS277" s="47" t="s">
        <v>173</v>
      </c>
      <c r="AT277" s="47" t="s">
        <v>128</v>
      </c>
      <c r="AU277" s="47" t="s">
        <v>83</v>
      </c>
      <c r="AV277" s="47"/>
      <c r="AW277" s="47"/>
      <c r="AX277" s="47" t="s">
        <v>2325</v>
      </c>
      <c r="AY277" s="49"/>
      <c r="AZ277" s="47" t="s">
        <v>80</v>
      </c>
      <c r="BA277" s="47"/>
      <c r="BB277" s="47" t="s">
        <v>2359</v>
      </c>
      <c r="BC277" s="47" t="s">
        <v>2542</v>
      </c>
      <c r="BD277" s="47"/>
      <c r="BE277" s="50"/>
      <c r="BF277" s="53">
        <v>994128</v>
      </c>
    </row>
    <row r="278" spans="1:58" s="51" customFormat="1" ht="23.4" hidden="1" x14ac:dyDescent="0.25">
      <c r="A278" s="46">
        <v>277</v>
      </c>
      <c r="B278" s="47"/>
      <c r="C278" s="47"/>
      <c r="D278" s="47" t="s">
        <v>2326</v>
      </c>
      <c r="E278" s="47" t="s">
        <v>1721</v>
      </c>
      <c r="F278" s="47" t="s">
        <v>558</v>
      </c>
      <c r="G278" s="47" t="str">
        <f>CONCATENATE(TRIM(الجدول2[[#This Row],[الاسم الأول]])," ",TRIM(الجدول2[[#This Row],[اسم الأب]])," ",TRIM(الجدول2[[#This Row],[الكنية]]))</f>
        <v>لميس شعبان حسين</v>
      </c>
      <c r="H278" s="47" t="s">
        <v>2327</v>
      </c>
      <c r="I278" s="48" t="s">
        <v>2328</v>
      </c>
      <c r="J278" s="47" t="s">
        <v>58</v>
      </c>
      <c r="K278" s="47" t="s">
        <v>59</v>
      </c>
      <c r="L278" s="47" t="s">
        <v>59</v>
      </c>
      <c r="M278" s="47" t="s">
        <v>60</v>
      </c>
      <c r="N278" s="47" t="s">
        <v>59</v>
      </c>
      <c r="O278" s="49">
        <v>31726</v>
      </c>
      <c r="P278" s="48" t="s">
        <v>2329</v>
      </c>
      <c r="Q278" s="47" t="s">
        <v>179</v>
      </c>
      <c r="R278" s="48" t="s">
        <v>2330</v>
      </c>
      <c r="S278" s="47" t="s">
        <v>65</v>
      </c>
      <c r="T278" s="47"/>
      <c r="U278" s="47"/>
      <c r="V278" s="47" t="s">
        <v>2286</v>
      </c>
      <c r="W278" s="47" t="s">
        <v>2287</v>
      </c>
      <c r="X278" s="47" t="s">
        <v>526</v>
      </c>
      <c r="Y278" s="47" t="s">
        <v>246</v>
      </c>
      <c r="Z278" s="47"/>
      <c r="AA278" s="47"/>
      <c r="AB278" s="47" t="s">
        <v>692</v>
      </c>
      <c r="AC278" s="47" t="s">
        <v>155</v>
      </c>
      <c r="AD278" s="47" t="s">
        <v>74</v>
      </c>
      <c r="AE278" s="49">
        <v>40461</v>
      </c>
      <c r="AF278" s="47" t="s">
        <v>123</v>
      </c>
      <c r="AG278" s="47"/>
      <c r="AH278" s="47" t="s">
        <v>157</v>
      </c>
      <c r="AI278" s="47" t="s">
        <v>2331</v>
      </c>
      <c r="AJ278" s="47" t="s">
        <v>1417</v>
      </c>
      <c r="AK278" s="47" t="s">
        <v>59</v>
      </c>
      <c r="AL278" s="47" t="s">
        <v>59</v>
      </c>
      <c r="AM278" s="47" t="s">
        <v>99</v>
      </c>
      <c r="AN278" s="47"/>
      <c r="AO278" s="47"/>
      <c r="AP278" s="47"/>
      <c r="AQ278" s="47" t="s">
        <v>81</v>
      </c>
      <c r="AR278" s="47"/>
      <c r="AS278" s="47" t="s">
        <v>173</v>
      </c>
      <c r="AT278" s="47" t="s">
        <v>128</v>
      </c>
      <c r="AU278" s="47" t="s">
        <v>83</v>
      </c>
      <c r="AV278" s="47" t="s">
        <v>59</v>
      </c>
      <c r="AW278" s="47"/>
      <c r="AX278" s="47"/>
      <c r="AY278" s="49">
        <v>39264</v>
      </c>
      <c r="AZ278" s="47" t="s">
        <v>80</v>
      </c>
      <c r="BA278" s="47"/>
      <c r="BB278" s="47" t="s">
        <v>2359</v>
      </c>
      <c r="BC278" s="47" t="s">
        <v>2542</v>
      </c>
      <c r="BD278" s="47"/>
      <c r="BE278" s="50"/>
      <c r="BF278" s="53">
        <v>1185000</v>
      </c>
    </row>
    <row r="279" spans="1:58" s="51" customFormat="1" ht="23.4" hidden="1" x14ac:dyDescent="0.25">
      <c r="A279" s="46">
        <v>278</v>
      </c>
      <c r="B279" s="47"/>
      <c r="C279" s="47"/>
      <c r="D279" s="47" t="s">
        <v>1850</v>
      </c>
      <c r="E279" s="47" t="s">
        <v>55</v>
      </c>
      <c r="F279" s="47" t="s">
        <v>131</v>
      </c>
      <c r="G279" s="47" t="str">
        <f>CONCATENATE(TRIM(الجدول2[[#This Row],[الاسم الأول]])," ",TRIM(الجدول2[[#This Row],[اسم الأب]])," ",TRIM(الجدول2[[#This Row],[الكنية]]))</f>
        <v>ميساء حسن علي</v>
      </c>
      <c r="H279" s="47" t="s">
        <v>2332</v>
      </c>
      <c r="I279" s="59" t="s">
        <v>2333</v>
      </c>
      <c r="J279" s="47" t="s">
        <v>58</v>
      </c>
      <c r="K279" s="47" t="s">
        <v>59</v>
      </c>
      <c r="L279" s="47" t="s">
        <v>1140</v>
      </c>
      <c r="M279" s="47" t="s">
        <v>60</v>
      </c>
      <c r="N279" s="47" t="s">
        <v>2334</v>
      </c>
      <c r="O279" s="49">
        <v>28743</v>
      </c>
      <c r="P279" s="47" t="s">
        <v>2335</v>
      </c>
      <c r="Q279" s="47" t="s">
        <v>179</v>
      </c>
      <c r="R279" s="48" t="s">
        <v>2336</v>
      </c>
      <c r="S279" s="47" t="s">
        <v>109</v>
      </c>
      <c r="T279" s="47"/>
      <c r="U279" s="47">
        <v>2</v>
      </c>
      <c r="V279" s="47" t="s">
        <v>2286</v>
      </c>
      <c r="W279" s="47" t="s">
        <v>2287</v>
      </c>
      <c r="X279" s="47" t="s">
        <v>526</v>
      </c>
      <c r="Y279" s="47" t="s">
        <v>2337</v>
      </c>
      <c r="Z279" s="47"/>
      <c r="AA279" s="47"/>
      <c r="AB279" s="47" t="s">
        <v>1210</v>
      </c>
      <c r="AC279" s="47" t="s">
        <v>73</v>
      </c>
      <c r="AD279" s="47" t="s">
        <v>74</v>
      </c>
      <c r="AE279" s="49">
        <v>37658</v>
      </c>
      <c r="AF279" s="47" t="s">
        <v>139</v>
      </c>
      <c r="AG279" s="47"/>
      <c r="AH279" s="47" t="s">
        <v>157</v>
      </c>
      <c r="AI279" s="47" t="s">
        <v>2323</v>
      </c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 t="s">
        <v>2338</v>
      </c>
      <c r="AU279" s="47"/>
      <c r="AV279" s="47"/>
      <c r="AW279" s="47"/>
      <c r="AX279" s="47"/>
      <c r="AY279" s="49"/>
      <c r="AZ279" s="47" t="s">
        <v>80</v>
      </c>
      <c r="BA279" s="47"/>
      <c r="BB279" s="47" t="s">
        <v>2359</v>
      </c>
      <c r="BC279" s="47" t="s">
        <v>2542</v>
      </c>
      <c r="BD279" s="47"/>
      <c r="BE279" s="50"/>
      <c r="BF279" s="53">
        <v>1185000</v>
      </c>
    </row>
    <row r="280" spans="1:58" s="51" customFormat="1" ht="23.4" hidden="1" x14ac:dyDescent="0.25">
      <c r="A280" s="46">
        <v>279</v>
      </c>
      <c r="B280" s="47"/>
      <c r="C280" s="47">
        <v>896266</v>
      </c>
      <c r="D280" s="47" t="s">
        <v>1895</v>
      </c>
      <c r="E280" s="47" t="s">
        <v>131</v>
      </c>
      <c r="F280" s="47" t="s">
        <v>86</v>
      </c>
      <c r="G280" s="47" t="str">
        <f>CONCATENATE(TRIM(الجدول2[[#This Row],[الاسم الأول]])," ",TRIM(الجدول2[[#This Row],[اسم الأب]])," ",TRIM(الجدول2[[#This Row],[الكنية]]))</f>
        <v>ناديا علي احمد</v>
      </c>
      <c r="H280" s="47" t="s">
        <v>2339</v>
      </c>
      <c r="I280" s="48" t="s">
        <v>2340</v>
      </c>
      <c r="J280" s="47" t="s">
        <v>58</v>
      </c>
      <c r="K280" s="47" t="s">
        <v>59</v>
      </c>
      <c r="L280" s="47" t="s">
        <v>59</v>
      </c>
      <c r="M280" s="47" t="s">
        <v>60</v>
      </c>
      <c r="N280" s="47" t="s">
        <v>1004</v>
      </c>
      <c r="O280" s="49">
        <v>24667</v>
      </c>
      <c r="P280" s="47" t="s">
        <v>2341</v>
      </c>
      <c r="Q280" s="47" t="s">
        <v>179</v>
      </c>
      <c r="R280" s="48"/>
      <c r="S280" s="47" t="s">
        <v>109</v>
      </c>
      <c r="T280" s="47"/>
      <c r="U280" s="47"/>
      <c r="V280" s="47" t="s">
        <v>2286</v>
      </c>
      <c r="W280" s="47" t="s">
        <v>2287</v>
      </c>
      <c r="X280" s="47" t="s">
        <v>526</v>
      </c>
      <c r="Y280" s="47" t="s">
        <v>94</v>
      </c>
      <c r="Z280" s="47" t="s">
        <v>221</v>
      </c>
      <c r="AA280" s="47"/>
      <c r="AB280" s="47" t="s">
        <v>2342</v>
      </c>
      <c r="AC280" s="47" t="s">
        <v>73</v>
      </c>
      <c r="AD280" s="47" t="s">
        <v>74</v>
      </c>
      <c r="AE280" s="49">
        <v>35207</v>
      </c>
      <c r="AF280" s="47" t="s">
        <v>139</v>
      </c>
      <c r="AG280" s="47"/>
      <c r="AH280" s="47" t="s">
        <v>124</v>
      </c>
      <c r="AI280" s="47" t="s">
        <v>125</v>
      </c>
      <c r="AJ280" s="47"/>
      <c r="AK280" s="47" t="s">
        <v>59</v>
      </c>
      <c r="AL280" s="47"/>
      <c r="AM280" s="47"/>
      <c r="AN280" s="47"/>
      <c r="AO280" s="47"/>
      <c r="AP280" s="47"/>
      <c r="AQ280" s="47"/>
      <c r="AR280" s="47"/>
      <c r="AS280" s="47"/>
      <c r="AT280" s="47" t="s">
        <v>128</v>
      </c>
      <c r="AU280" s="47" t="s">
        <v>83</v>
      </c>
      <c r="AV280" s="47"/>
      <c r="AW280" s="47"/>
      <c r="AX280" s="47"/>
      <c r="AY280" s="49"/>
      <c r="AZ280" s="47" t="s">
        <v>80</v>
      </c>
      <c r="BA280" s="47"/>
      <c r="BB280" s="47" t="s">
        <v>2359</v>
      </c>
      <c r="BC280" s="47" t="s">
        <v>2542</v>
      </c>
      <c r="BD280" s="47"/>
      <c r="BE280" s="50"/>
      <c r="BF280" s="53">
        <v>0</v>
      </c>
    </row>
    <row r="281" spans="1:58" s="51" customFormat="1" ht="23.4" hidden="1" x14ac:dyDescent="0.25">
      <c r="A281" s="46">
        <v>280</v>
      </c>
      <c r="B281" s="47"/>
      <c r="C281" s="47"/>
      <c r="D281" s="47" t="s">
        <v>2025</v>
      </c>
      <c r="E281" s="47" t="s">
        <v>2343</v>
      </c>
      <c r="F281" s="47" t="s">
        <v>598</v>
      </c>
      <c r="G281" s="47" t="str">
        <f>CONCATENATE(TRIM(الجدول2[[#This Row],[الاسم الأول]])," ",TRIM(الجدول2[[#This Row],[اسم الأب]])," ",TRIM(الجدول2[[#This Row],[الكنية]]))</f>
        <v>نور جعفر داود</v>
      </c>
      <c r="H281" s="47" t="s">
        <v>2344</v>
      </c>
      <c r="I281" s="48" t="s">
        <v>2345</v>
      </c>
      <c r="J281" s="47" t="s">
        <v>58</v>
      </c>
      <c r="K281" s="47" t="s">
        <v>59</v>
      </c>
      <c r="L281" s="47" t="s">
        <v>90</v>
      </c>
      <c r="M281" s="47" t="s">
        <v>2346</v>
      </c>
      <c r="N281" s="47" t="s">
        <v>78</v>
      </c>
      <c r="O281" s="49">
        <v>32673</v>
      </c>
      <c r="P281" s="47" t="s">
        <v>2347</v>
      </c>
      <c r="Q281" s="47" t="s">
        <v>179</v>
      </c>
      <c r="R281" s="48" t="s">
        <v>2348</v>
      </c>
      <c r="S281" s="47" t="s">
        <v>109</v>
      </c>
      <c r="T281" s="47">
        <v>1</v>
      </c>
      <c r="U281" s="47">
        <v>2</v>
      </c>
      <c r="V281" s="47" t="s">
        <v>2286</v>
      </c>
      <c r="W281" s="47" t="s">
        <v>2287</v>
      </c>
      <c r="X281" s="47" t="s">
        <v>526</v>
      </c>
      <c r="Y281" s="47" t="s">
        <v>137</v>
      </c>
      <c r="Z281" s="47"/>
      <c r="AA281" s="47"/>
      <c r="AB281" s="47" t="s">
        <v>491</v>
      </c>
      <c r="AC281" s="47" t="s">
        <v>73</v>
      </c>
      <c r="AD281" s="47" t="s">
        <v>74</v>
      </c>
      <c r="AE281" s="49">
        <v>41294</v>
      </c>
      <c r="AF281" s="47" t="s">
        <v>123</v>
      </c>
      <c r="AG281" s="47"/>
      <c r="AH281" s="47" t="s">
        <v>2277</v>
      </c>
      <c r="AI281" s="47" t="s">
        <v>327</v>
      </c>
      <c r="AJ281" s="47" t="s">
        <v>328</v>
      </c>
      <c r="AK281" s="47"/>
      <c r="AL281" s="47"/>
      <c r="AM281" s="47"/>
      <c r="AN281" s="47"/>
      <c r="AO281" s="47"/>
      <c r="AP281" s="47"/>
      <c r="AQ281" s="47"/>
      <c r="AR281" s="47"/>
      <c r="AS281" s="47"/>
      <c r="AT281" s="47" t="s">
        <v>2349</v>
      </c>
      <c r="AU281" s="47" t="s">
        <v>83</v>
      </c>
      <c r="AV281" s="47" t="s">
        <v>184</v>
      </c>
      <c r="AW281" s="47" t="s">
        <v>328</v>
      </c>
      <c r="AX281" s="47" t="s">
        <v>1559</v>
      </c>
      <c r="AY281" s="49">
        <v>40878</v>
      </c>
      <c r="AZ281" s="47" t="s">
        <v>80</v>
      </c>
      <c r="BA281" s="47"/>
      <c r="BB281" s="47" t="s">
        <v>2358</v>
      </c>
      <c r="BC281" s="47" t="s">
        <v>2542</v>
      </c>
      <c r="BD281" s="47"/>
      <c r="BE281" s="50"/>
      <c r="BF281" s="53">
        <v>1322775</v>
      </c>
    </row>
    <row r="282" spans="1:58" s="51" customFormat="1" ht="23.4" x14ac:dyDescent="0.25">
      <c r="A282" s="46">
        <v>281</v>
      </c>
      <c r="B282" s="47"/>
      <c r="C282" s="47"/>
      <c r="D282" s="47" t="s">
        <v>2064</v>
      </c>
      <c r="E282" s="47" t="s">
        <v>2350</v>
      </c>
      <c r="F282" s="47" t="s">
        <v>583</v>
      </c>
      <c r="G282" s="47" t="str">
        <f>CONCATENATE(TRIM(الجدول2[[#This Row],[الاسم الأول]])," ",TRIM(الجدول2[[#This Row],[اسم الأب]])," ",TRIM(الجدول2[[#This Row],[الكنية]]))</f>
        <v>هبة سهيل حيدر</v>
      </c>
      <c r="H282" s="47" t="s">
        <v>2351</v>
      </c>
      <c r="I282" s="48" t="s">
        <v>2352</v>
      </c>
      <c r="J282" s="47" t="s">
        <v>58</v>
      </c>
      <c r="K282" s="47" t="s">
        <v>59</v>
      </c>
      <c r="L282" s="47" t="s">
        <v>59</v>
      </c>
      <c r="M282" s="47" t="s">
        <v>2346</v>
      </c>
      <c r="N282" s="47" t="s">
        <v>2353</v>
      </c>
      <c r="O282" s="49">
        <v>32644</v>
      </c>
      <c r="P282" s="47" t="s">
        <v>2354</v>
      </c>
      <c r="Q282" s="47" t="s">
        <v>179</v>
      </c>
      <c r="R282" s="48" t="s">
        <v>2355</v>
      </c>
      <c r="S282" s="47" t="s">
        <v>109</v>
      </c>
      <c r="T282" s="47"/>
      <c r="U282" s="47"/>
      <c r="V282" s="47" t="s">
        <v>2286</v>
      </c>
      <c r="W282" s="47" t="s">
        <v>2287</v>
      </c>
      <c r="X282" s="47" t="s">
        <v>526</v>
      </c>
      <c r="Y282" s="47" t="s">
        <v>121</v>
      </c>
      <c r="Z282" s="47"/>
      <c r="AA282" s="47"/>
      <c r="AB282" s="47" t="s">
        <v>491</v>
      </c>
      <c r="AC282" s="47" t="s">
        <v>73</v>
      </c>
      <c r="AD282" s="47" t="s">
        <v>1573</v>
      </c>
      <c r="AE282" s="49">
        <v>41281</v>
      </c>
      <c r="AF282" s="47" t="s">
        <v>123</v>
      </c>
      <c r="AG282" s="47"/>
      <c r="AH282" s="47" t="s">
        <v>2277</v>
      </c>
      <c r="AI282" s="47" t="s">
        <v>327</v>
      </c>
      <c r="AJ282" s="47" t="s">
        <v>328</v>
      </c>
      <c r="AK282" s="47"/>
      <c r="AL282" s="47"/>
      <c r="AM282" s="47"/>
      <c r="AN282" s="47"/>
      <c r="AO282" s="47"/>
      <c r="AP282" s="47"/>
      <c r="AQ282" s="47"/>
      <c r="AR282" s="47"/>
      <c r="AS282" s="47"/>
      <c r="AT282" s="47" t="s">
        <v>2349</v>
      </c>
      <c r="AU282" s="47" t="s">
        <v>83</v>
      </c>
      <c r="AV282" s="47" t="s">
        <v>184</v>
      </c>
      <c r="AW282" s="47" t="s">
        <v>328</v>
      </c>
      <c r="AX282" s="47" t="s">
        <v>1559</v>
      </c>
      <c r="AY282" s="49">
        <v>41032</v>
      </c>
      <c r="AZ282" s="47" t="s">
        <v>80</v>
      </c>
      <c r="BA282" s="47"/>
      <c r="BB282" s="47"/>
      <c r="BC282" s="47" t="s">
        <v>2542</v>
      </c>
      <c r="BD282" s="47"/>
      <c r="BE282" s="50"/>
      <c r="BF282" s="53">
        <v>0</v>
      </c>
    </row>
    <row r="283" spans="1:58" s="51" customFormat="1" ht="23.4" hidden="1" x14ac:dyDescent="0.75">
      <c r="A283" s="46">
        <v>282</v>
      </c>
      <c r="B283" s="56"/>
      <c r="C283" s="56"/>
      <c r="D283" s="60" t="s">
        <v>2362</v>
      </c>
      <c r="E283" s="60" t="s">
        <v>2363</v>
      </c>
      <c r="F283" s="60" t="s">
        <v>2364</v>
      </c>
      <c r="G283" s="56" t="str">
        <f>CONCATENATE(TRIM(الجدول2[[#This Row],[الاسم الأول]])," ",TRIM(الجدول2[[#This Row],[اسم الأب]])," ",TRIM(الجدول2[[#This Row],[الكنية]]))</f>
        <v>ماري نجيد كنوزي</v>
      </c>
      <c r="H283" s="56" t="s">
        <v>2367</v>
      </c>
      <c r="I283" s="61" t="s">
        <v>2365</v>
      </c>
      <c r="J283" s="56" t="s">
        <v>58</v>
      </c>
      <c r="K283" s="56" t="s">
        <v>59</v>
      </c>
      <c r="L283" s="56" t="s">
        <v>59</v>
      </c>
      <c r="M283" s="56" t="s">
        <v>59</v>
      </c>
      <c r="N283" s="56" t="s">
        <v>2366</v>
      </c>
      <c r="O283" s="62">
        <v>27679</v>
      </c>
      <c r="P283" s="56" t="s">
        <v>2368</v>
      </c>
      <c r="Q283" s="56" t="s">
        <v>665</v>
      </c>
      <c r="R283" s="61" t="s">
        <v>2369</v>
      </c>
      <c r="S283" s="56" t="s">
        <v>109</v>
      </c>
      <c r="T283" s="56"/>
      <c r="U283" s="56">
        <v>2</v>
      </c>
      <c r="V283" s="47" t="s">
        <v>2286</v>
      </c>
      <c r="W283" s="47" t="s">
        <v>2287</v>
      </c>
      <c r="X283" s="47" t="s">
        <v>526</v>
      </c>
      <c r="Y283" s="47" t="s">
        <v>797</v>
      </c>
      <c r="Z283" s="56"/>
      <c r="AA283" s="56"/>
      <c r="AB283" s="56" t="s">
        <v>197</v>
      </c>
      <c r="AC283" s="56" t="s">
        <v>73</v>
      </c>
      <c r="AD283" s="56" t="s">
        <v>74</v>
      </c>
      <c r="AE283" s="62">
        <v>37263</v>
      </c>
      <c r="AF283" s="56" t="s">
        <v>75</v>
      </c>
      <c r="AG283" s="56"/>
      <c r="AH283" s="56" t="s">
        <v>2277</v>
      </c>
      <c r="AI283" s="56" t="s">
        <v>76</v>
      </c>
      <c r="AJ283" s="56" t="s">
        <v>277</v>
      </c>
      <c r="AK283" s="56" t="s">
        <v>59</v>
      </c>
      <c r="AL283" s="56" t="s">
        <v>59</v>
      </c>
      <c r="AM283" s="56" t="s">
        <v>79</v>
      </c>
      <c r="AN283" s="56" t="s">
        <v>83</v>
      </c>
      <c r="AO283" s="56"/>
      <c r="AP283" s="56"/>
      <c r="AQ283" s="56" t="s">
        <v>81</v>
      </c>
      <c r="AR283" s="56"/>
      <c r="AS283" s="56" t="s">
        <v>82</v>
      </c>
      <c r="AT283" s="56" t="s">
        <v>2306</v>
      </c>
      <c r="AU283" s="56" t="s">
        <v>83</v>
      </c>
      <c r="AV283" s="56" t="s">
        <v>184</v>
      </c>
      <c r="AW283" s="56" t="s">
        <v>277</v>
      </c>
      <c r="AX283" s="56" t="s">
        <v>1478</v>
      </c>
      <c r="AY283" s="49">
        <v>37076</v>
      </c>
      <c r="AZ283" s="56" t="s">
        <v>80</v>
      </c>
      <c r="BA283" s="56"/>
      <c r="BB283" s="56" t="s">
        <v>2359</v>
      </c>
      <c r="BC283" s="56" t="s">
        <v>2542</v>
      </c>
      <c r="BD283" s="56"/>
      <c r="BE283" s="63"/>
      <c r="BF283" s="53">
        <v>1409000</v>
      </c>
    </row>
    <row r="284" spans="1:58" ht="23.4" hidden="1" x14ac:dyDescent="0.25">
      <c r="A284" s="9">
        <v>283</v>
      </c>
      <c r="B284" s="10"/>
      <c r="C284" s="10"/>
      <c r="D284" s="10" t="s">
        <v>1001</v>
      </c>
      <c r="E284" s="10"/>
      <c r="F284" s="10" t="s">
        <v>2370</v>
      </c>
      <c r="G284" s="23" t="str">
        <f>CONCATENATE(TRIM(الجدول2[[#This Row],[الاسم الأول]])," ",TRIM(الجدول2[[#This Row],[اسم الأب]])," ",TRIM(الجدول2[[#This Row],[الكنية]]))</f>
        <v>أحمد  حميجو</v>
      </c>
      <c r="H284" s="10"/>
      <c r="I284" s="11"/>
      <c r="J284" s="10" t="s">
        <v>58</v>
      </c>
      <c r="K284" s="10"/>
      <c r="L284" s="10"/>
      <c r="M284" s="10"/>
      <c r="N284" s="10"/>
      <c r="O284" s="12"/>
      <c r="P284" s="10"/>
      <c r="Q284" s="10"/>
      <c r="R284" s="11"/>
      <c r="S284" s="10"/>
      <c r="T284" s="10"/>
      <c r="U284" s="10"/>
      <c r="V284" s="10" t="s">
        <v>2286</v>
      </c>
      <c r="W284" s="10" t="s">
        <v>2287</v>
      </c>
      <c r="X284" s="10" t="s">
        <v>2458</v>
      </c>
      <c r="Y284" s="10"/>
      <c r="Z284" s="10"/>
      <c r="AA284" s="10" t="s">
        <v>2560</v>
      </c>
      <c r="AB284" s="47"/>
      <c r="AC284" s="10" t="s">
        <v>73</v>
      </c>
      <c r="AD284" s="10" t="s">
        <v>74</v>
      </c>
      <c r="AE284" s="12"/>
      <c r="AF284" s="10"/>
      <c r="AG284" s="10"/>
      <c r="AH284" s="10" t="s">
        <v>140</v>
      </c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2"/>
      <c r="AZ284" s="23" t="s">
        <v>80</v>
      </c>
      <c r="BA284" s="10" t="s">
        <v>246</v>
      </c>
      <c r="BB284" s="56" t="s">
        <v>2359</v>
      </c>
      <c r="BC284" s="10" t="s">
        <v>2446</v>
      </c>
      <c r="BD284" s="10"/>
      <c r="BE284" s="13"/>
      <c r="BF284" s="52">
        <v>0</v>
      </c>
    </row>
    <row r="285" spans="1:58" ht="23.4" hidden="1" x14ac:dyDescent="0.25">
      <c r="A285" s="9">
        <v>284</v>
      </c>
      <c r="B285" s="10"/>
      <c r="C285" s="10"/>
      <c r="D285" s="10" t="s">
        <v>694</v>
      </c>
      <c r="E285" s="10"/>
      <c r="F285" s="10" t="s">
        <v>2371</v>
      </c>
      <c r="G285" s="23" t="str">
        <f>CONCATENATE(TRIM(الجدول2[[#This Row],[الاسم الأول]])," ",TRIM(الجدول2[[#This Row],[اسم الأب]])," ",TRIM(الجدول2[[#This Row],[الكنية]]))</f>
        <v>عبدالرحمن  كردوش</v>
      </c>
      <c r="H285" s="10"/>
      <c r="I285" s="11"/>
      <c r="J285" s="10" t="s">
        <v>58</v>
      </c>
      <c r="K285" s="10"/>
      <c r="L285" s="10"/>
      <c r="M285" s="10"/>
      <c r="N285" s="10"/>
      <c r="O285" s="12"/>
      <c r="P285" s="10"/>
      <c r="Q285" s="10"/>
      <c r="R285" s="11"/>
      <c r="S285" s="10"/>
      <c r="T285" s="10"/>
      <c r="U285" s="10"/>
      <c r="V285" s="10" t="s">
        <v>2286</v>
      </c>
      <c r="W285" s="10" t="s">
        <v>2287</v>
      </c>
      <c r="X285" s="10" t="s">
        <v>2458</v>
      </c>
      <c r="Y285" s="10"/>
      <c r="Z285" s="10"/>
      <c r="AA285" s="10" t="s">
        <v>2560</v>
      </c>
      <c r="AB285" s="10"/>
      <c r="AC285" s="10" t="s">
        <v>73</v>
      </c>
      <c r="AD285" s="10" t="s">
        <v>74</v>
      </c>
      <c r="AE285" s="12"/>
      <c r="AF285" s="10"/>
      <c r="AG285" s="10"/>
      <c r="AH285" s="10" t="s">
        <v>157</v>
      </c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2"/>
      <c r="AZ285" s="23" t="s">
        <v>80</v>
      </c>
      <c r="BA285" s="10" t="s">
        <v>246</v>
      </c>
      <c r="BB285" s="56" t="s">
        <v>2359</v>
      </c>
      <c r="BC285" s="10" t="s">
        <v>2446</v>
      </c>
      <c r="BD285" s="10"/>
      <c r="BE285" s="13"/>
      <c r="BF285" s="52"/>
    </row>
    <row r="286" spans="1:58" ht="23.4" hidden="1" x14ac:dyDescent="0.25">
      <c r="A286" s="9">
        <v>285</v>
      </c>
      <c r="B286" s="10"/>
      <c r="C286" s="10"/>
      <c r="D286" s="10" t="s">
        <v>115</v>
      </c>
      <c r="E286" s="10" t="s">
        <v>1368</v>
      </c>
      <c r="F286" s="10" t="s">
        <v>1763</v>
      </c>
      <c r="G286" s="23" t="str">
        <f>CONCATENATE(TRIM(الجدول2[[#This Row],[الاسم الأول]])," ",TRIM(الجدول2[[#This Row],[اسم الأب]])," ",TRIM(الجدول2[[#This Row],[الكنية]]))</f>
        <v>محمد إبراهيم ناصيف</v>
      </c>
      <c r="H286" s="10"/>
      <c r="I286" s="11"/>
      <c r="J286" s="10" t="s">
        <v>58</v>
      </c>
      <c r="K286" s="10"/>
      <c r="L286" s="10"/>
      <c r="M286" s="10"/>
      <c r="N286" s="10"/>
      <c r="O286" s="12"/>
      <c r="P286" s="10"/>
      <c r="Q286" s="10"/>
      <c r="R286" s="11"/>
      <c r="S286" s="10"/>
      <c r="T286" s="10"/>
      <c r="U286" s="10"/>
      <c r="V286" s="10" t="s">
        <v>2286</v>
      </c>
      <c r="W286" s="10" t="s">
        <v>2287</v>
      </c>
      <c r="X286" s="10" t="s">
        <v>526</v>
      </c>
      <c r="Y286" s="10" t="s">
        <v>214</v>
      </c>
      <c r="Z286" s="10"/>
      <c r="AA286" s="10" t="s">
        <v>2560</v>
      </c>
      <c r="AB286" s="10"/>
      <c r="AC286" s="10" t="s">
        <v>73</v>
      </c>
      <c r="AD286" s="10" t="s">
        <v>74</v>
      </c>
      <c r="AE286" s="12"/>
      <c r="AF286" s="10"/>
      <c r="AG286" s="10"/>
      <c r="AH286" s="10" t="s">
        <v>2277</v>
      </c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2"/>
      <c r="AZ286" s="23" t="s">
        <v>80</v>
      </c>
      <c r="BA286" s="10" t="s">
        <v>94</v>
      </c>
      <c r="BB286" s="56" t="s">
        <v>2359</v>
      </c>
      <c r="BC286" s="10" t="s">
        <v>2446</v>
      </c>
      <c r="BD286" s="10"/>
      <c r="BE286" s="13"/>
      <c r="BF286" s="52"/>
    </row>
    <row r="287" spans="1:58" ht="23.4" hidden="1" x14ac:dyDescent="0.25">
      <c r="A287" s="9">
        <v>286</v>
      </c>
      <c r="B287" s="10"/>
      <c r="C287" s="10"/>
      <c r="D287" s="10" t="s">
        <v>2212</v>
      </c>
      <c r="E287" s="10" t="s">
        <v>2373</v>
      </c>
      <c r="F287" s="10" t="s">
        <v>116</v>
      </c>
      <c r="G287" s="23" t="str">
        <f>CONCATENATE(TRIM(الجدول2[[#This Row],[الاسم الأول]])," ",TRIM(الجدول2[[#This Row],[اسم الأب]])," ",TRIM(الجدول2[[#This Row],[الكنية]]))</f>
        <v>بسام أنيس يوسف</v>
      </c>
      <c r="H287" s="10"/>
      <c r="I287" s="11"/>
      <c r="J287" s="10" t="s">
        <v>58</v>
      </c>
      <c r="K287" s="10"/>
      <c r="L287" s="10"/>
      <c r="M287" s="10"/>
      <c r="N287" s="10"/>
      <c r="O287" s="12"/>
      <c r="P287" s="10"/>
      <c r="Q287" s="10"/>
      <c r="R287" s="11"/>
      <c r="S287" s="10"/>
      <c r="T287" s="10"/>
      <c r="U287" s="10"/>
      <c r="V287" s="10" t="s">
        <v>2286</v>
      </c>
      <c r="W287" s="10" t="s">
        <v>2287</v>
      </c>
      <c r="X287" s="10" t="s">
        <v>526</v>
      </c>
      <c r="Y287" s="10" t="s">
        <v>424</v>
      </c>
      <c r="Z287" s="10"/>
      <c r="AA287" s="10" t="s">
        <v>2560</v>
      </c>
      <c r="AB287" s="10"/>
      <c r="AC287" s="10" t="s">
        <v>73</v>
      </c>
      <c r="AD287" s="10" t="s">
        <v>74</v>
      </c>
      <c r="AE287" s="12"/>
      <c r="AF287" s="10"/>
      <c r="AG287" s="10"/>
      <c r="AH287" s="10" t="s">
        <v>2277</v>
      </c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2"/>
      <c r="AZ287" s="23" t="s">
        <v>80</v>
      </c>
      <c r="BA287" s="10" t="s">
        <v>94</v>
      </c>
      <c r="BB287" s="56" t="s">
        <v>2359</v>
      </c>
      <c r="BC287" s="10" t="s">
        <v>2446</v>
      </c>
      <c r="BD287" s="10"/>
      <c r="BE287" s="13"/>
      <c r="BF287" s="52"/>
    </row>
    <row r="288" spans="1:58" ht="23.4" hidden="1" x14ac:dyDescent="0.25">
      <c r="A288" s="9">
        <v>287</v>
      </c>
      <c r="B288" s="10"/>
      <c r="C288" s="10"/>
      <c r="D288" s="10" t="s">
        <v>2197</v>
      </c>
      <c r="E288" s="10" t="s">
        <v>131</v>
      </c>
      <c r="F288" s="10" t="s">
        <v>558</v>
      </c>
      <c r="G288" s="23" t="str">
        <f>CONCATENATE(TRIM(الجدول2[[#This Row],[الاسم الأول]])," ",TRIM(الجدول2[[#This Row],[اسم الأب]])," ",TRIM(الجدول2[[#This Row],[الكنية]]))</f>
        <v>ياسر علي حسين</v>
      </c>
      <c r="H288" s="10"/>
      <c r="I288" s="11"/>
      <c r="J288" s="10" t="s">
        <v>58</v>
      </c>
      <c r="K288" s="10"/>
      <c r="L288" s="10"/>
      <c r="M288" s="10"/>
      <c r="N288" s="10"/>
      <c r="O288" s="12"/>
      <c r="P288" s="10"/>
      <c r="Q288" s="10"/>
      <c r="R288" s="11"/>
      <c r="S288" s="10"/>
      <c r="T288" s="10"/>
      <c r="U288" s="10"/>
      <c r="V288" s="10" t="s">
        <v>2286</v>
      </c>
      <c r="W288" s="10" t="s">
        <v>2287</v>
      </c>
      <c r="X288" s="10" t="s">
        <v>526</v>
      </c>
      <c r="Y288" s="10" t="s">
        <v>214</v>
      </c>
      <c r="Z288" s="10"/>
      <c r="AA288" s="10" t="s">
        <v>2560</v>
      </c>
      <c r="AB288" s="10"/>
      <c r="AC288" s="10" t="s">
        <v>73</v>
      </c>
      <c r="AD288" s="10" t="s">
        <v>74</v>
      </c>
      <c r="AE288" s="12"/>
      <c r="AF288" s="10"/>
      <c r="AG288" s="10"/>
      <c r="AH288" s="10" t="s">
        <v>124</v>
      </c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2"/>
      <c r="AZ288" s="23" t="s">
        <v>80</v>
      </c>
      <c r="BA288" s="10" t="s">
        <v>94</v>
      </c>
      <c r="BB288" s="56" t="s">
        <v>2359</v>
      </c>
      <c r="BC288" s="10" t="s">
        <v>2446</v>
      </c>
      <c r="BD288" s="10"/>
      <c r="BE288" s="13"/>
      <c r="BF288" s="52"/>
    </row>
    <row r="289" spans="1:58" ht="23.4" hidden="1" x14ac:dyDescent="0.25">
      <c r="A289" s="9">
        <v>288</v>
      </c>
      <c r="B289" s="10"/>
      <c r="C289" s="10"/>
      <c r="D289" s="10" t="s">
        <v>2372</v>
      </c>
      <c r="E289" s="10" t="s">
        <v>2374</v>
      </c>
      <c r="F289" s="10" t="s">
        <v>161</v>
      </c>
      <c r="G289" s="23" t="str">
        <f>CONCATENATE(TRIM(الجدول2[[#This Row],[الاسم الأول]])," ",TRIM(الجدول2[[#This Row],[اسم الأب]])," ",TRIM(الجدول2[[#This Row],[الكنية]]))</f>
        <v>سحر دعاس ملحم</v>
      </c>
      <c r="H289" s="10"/>
      <c r="I289" s="11"/>
      <c r="J289" s="10" t="s">
        <v>58</v>
      </c>
      <c r="K289" s="10"/>
      <c r="L289" s="10"/>
      <c r="M289" s="10"/>
      <c r="N289" s="10"/>
      <c r="O289" s="12"/>
      <c r="P289" s="10"/>
      <c r="Q289" s="10"/>
      <c r="R289" s="11"/>
      <c r="S289" s="10"/>
      <c r="T289" s="10"/>
      <c r="U289" s="10"/>
      <c r="V289" s="10" t="s">
        <v>2286</v>
      </c>
      <c r="W289" s="10" t="s">
        <v>2287</v>
      </c>
      <c r="X289" s="10" t="s">
        <v>526</v>
      </c>
      <c r="Y289" s="10" t="s">
        <v>2433</v>
      </c>
      <c r="Z289" s="10"/>
      <c r="AA289" s="10" t="s">
        <v>2560</v>
      </c>
      <c r="AB289" s="10"/>
      <c r="AC289" s="10" t="s">
        <v>73</v>
      </c>
      <c r="AD289" s="10" t="s">
        <v>74</v>
      </c>
      <c r="AE289" s="12"/>
      <c r="AF289" s="10"/>
      <c r="AG289" s="10"/>
      <c r="AH289" s="10" t="s">
        <v>124</v>
      </c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2"/>
      <c r="AZ289" s="23" t="s">
        <v>80</v>
      </c>
      <c r="BA289" s="10" t="s">
        <v>94</v>
      </c>
      <c r="BB289" s="56" t="s">
        <v>2359</v>
      </c>
      <c r="BC289" s="10" t="s">
        <v>2446</v>
      </c>
      <c r="BD289" s="10"/>
      <c r="BE289" s="13"/>
      <c r="BF289" s="52"/>
    </row>
    <row r="290" spans="1:58" ht="23.4" hidden="1" x14ac:dyDescent="0.25">
      <c r="A290" s="9">
        <v>289</v>
      </c>
      <c r="B290" s="10"/>
      <c r="C290" s="10"/>
      <c r="D290" s="10" t="s">
        <v>1340</v>
      </c>
      <c r="E290" s="10" t="s">
        <v>131</v>
      </c>
      <c r="F290" s="10" t="s">
        <v>1368</v>
      </c>
      <c r="G290" s="23" t="str">
        <f>CONCATENATE(TRIM(الجدول2[[#This Row],[الاسم الأول]])," ",TRIM(الجدول2[[#This Row],[اسم الأب]])," ",TRIM(الجدول2[[#This Row],[الكنية]]))</f>
        <v>هيثم علي إبراهيم</v>
      </c>
      <c r="H290" s="10"/>
      <c r="I290" s="11"/>
      <c r="J290" s="10" t="s">
        <v>58</v>
      </c>
      <c r="K290" s="10"/>
      <c r="L290" s="10"/>
      <c r="M290" s="10"/>
      <c r="N290" s="10"/>
      <c r="O290" s="12"/>
      <c r="P290" s="10"/>
      <c r="Q290" s="10"/>
      <c r="R290" s="11"/>
      <c r="S290" s="10"/>
      <c r="T290" s="10"/>
      <c r="U290" s="10"/>
      <c r="V290" s="10" t="s">
        <v>2459</v>
      </c>
      <c r="W290" s="10" t="s">
        <v>2558</v>
      </c>
      <c r="X290" s="10" t="s">
        <v>2559</v>
      </c>
      <c r="Y290" s="10"/>
      <c r="Z290" s="10"/>
      <c r="AA290" s="10" t="s">
        <v>2560</v>
      </c>
      <c r="AB290" s="10"/>
      <c r="AC290" s="10" t="s">
        <v>73</v>
      </c>
      <c r="AD290" s="10" t="s">
        <v>74</v>
      </c>
      <c r="AE290" s="12"/>
      <c r="AF290" s="10"/>
      <c r="AG290" s="10"/>
      <c r="AH290" s="10" t="s">
        <v>157</v>
      </c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2"/>
      <c r="AZ290" s="23" t="s">
        <v>80</v>
      </c>
      <c r="BA290" s="10" t="s">
        <v>94</v>
      </c>
      <c r="BB290" s="56" t="s">
        <v>2359</v>
      </c>
      <c r="BC290" s="10" t="s">
        <v>2446</v>
      </c>
      <c r="BD290" s="10"/>
      <c r="BE290" s="13"/>
      <c r="BF290" s="52"/>
    </row>
    <row r="291" spans="1:58" ht="23.4" hidden="1" x14ac:dyDescent="0.25">
      <c r="A291" s="9">
        <v>290</v>
      </c>
      <c r="B291" s="10"/>
      <c r="C291" s="10"/>
      <c r="D291" s="10" t="s">
        <v>1931</v>
      </c>
      <c r="E291" s="10"/>
      <c r="F291" s="10" t="s">
        <v>130</v>
      </c>
      <c r="G291" s="23" t="str">
        <f>CONCATENATE(TRIM(الجدول2[[#This Row],[الاسم الأول]])," ",TRIM(الجدول2[[#This Row],[اسم الأب]])," ",TRIM(الجدول2[[#This Row],[الكنية]]))</f>
        <v>نزار  ميهوب</v>
      </c>
      <c r="H291" s="10"/>
      <c r="I291" s="11"/>
      <c r="J291" s="10" t="s">
        <v>58</v>
      </c>
      <c r="K291" s="10"/>
      <c r="L291" s="10"/>
      <c r="M291" s="10"/>
      <c r="N291" s="10"/>
      <c r="O291" s="12"/>
      <c r="P291" s="10"/>
      <c r="Q291" s="10"/>
      <c r="R291" s="11"/>
      <c r="S291" s="10"/>
      <c r="T291" s="10"/>
      <c r="U291" s="10"/>
      <c r="V291" s="10" t="s">
        <v>2286</v>
      </c>
      <c r="W291" s="10" t="s">
        <v>2287</v>
      </c>
      <c r="X291" s="10" t="s">
        <v>526</v>
      </c>
      <c r="Y291" s="10" t="s">
        <v>424</v>
      </c>
      <c r="Z291" s="10"/>
      <c r="AA291" s="10" t="s">
        <v>2560</v>
      </c>
      <c r="AB291" s="10"/>
      <c r="AC291" s="10" t="s">
        <v>73</v>
      </c>
      <c r="AD291" s="10" t="s">
        <v>74</v>
      </c>
      <c r="AE291" s="12"/>
      <c r="AF291" s="10"/>
      <c r="AG291" s="10"/>
      <c r="AH291" s="10" t="s">
        <v>2277</v>
      </c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2"/>
      <c r="AZ291" s="23" t="s">
        <v>80</v>
      </c>
      <c r="BA291" s="10" t="s">
        <v>501</v>
      </c>
      <c r="BB291" s="56" t="s">
        <v>2359</v>
      </c>
      <c r="BC291" s="10" t="s">
        <v>2446</v>
      </c>
      <c r="BD291" s="10"/>
      <c r="BE291" s="13"/>
      <c r="BF291" s="52"/>
    </row>
    <row r="292" spans="1:58" ht="23.4" hidden="1" x14ac:dyDescent="0.25">
      <c r="A292" s="9">
        <v>291</v>
      </c>
      <c r="B292" s="10"/>
      <c r="C292" s="10"/>
      <c r="D292" s="10" t="s">
        <v>2375</v>
      </c>
      <c r="E292" s="10"/>
      <c r="F292" s="10" t="s">
        <v>506</v>
      </c>
      <c r="G292" s="23" t="str">
        <f>CONCATENATE(TRIM(الجدول2[[#This Row],[الاسم الأول]])," ",TRIM(الجدول2[[#This Row],[اسم الأب]])," ",TRIM(الجدول2[[#This Row],[الكنية]]))</f>
        <v>أميمة  عيسى</v>
      </c>
      <c r="H292" s="10"/>
      <c r="I292" s="11"/>
      <c r="J292" s="10" t="s">
        <v>58</v>
      </c>
      <c r="K292" s="10"/>
      <c r="L292" s="10"/>
      <c r="M292" s="10"/>
      <c r="N292" s="10"/>
      <c r="O292" s="12"/>
      <c r="P292" s="10"/>
      <c r="Q292" s="10"/>
      <c r="R292" s="11"/>
      <c r="S292" s="10"/>
      <c r="T292" s="10"/>
      <c r="U292" s="10"/>
      <c r="V292" s="10" t="s">
        <v>2286</v>
      </c>
      <c r="W292" s="10" t="s">
        <v>2287</v>
      </c>
      <c r="X292" s="10" t="s">
        <v>526</v>
      </c>
      <c r="Y292" s="10" t="s">
        <v>424</v>
      </c>
      <c r="Z292" s="10"/>
      <c r="AA292" s="10" t="s">
        <v>2560</v>
      </c>
      <c r="AB292" s="10"/>
      <c r="AC292" s="10" t="s">
        <v>73</v>
      </c>
      <c r="AD292" s="10" t="s">
        <v>74</v>
      </c>
      <c r="AE292" s="12"/>
      <c r="AF292" s="10"/>
      <c r="AG292" s="10"/>
      <c r="AH292" s="10" t="s">
        <v>2277</v>
      </c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2"/>
      <c r="AZ292" s="23" t="s">
        <v>80</v>
      </c>
      <c r="BA292" s="10" t="s">
        <v>501</v>
      </c>
      <c r="BB292" s="56" t="s">
        <v>2359</v>
      </c>
      <c r="BC292" s="10" t="s">
        <v>2446</v>
      </c>
      <c r="BD292" s="10"/>
      <c r="BE292" s="13"/>
      <c r="BF292" s="52"/>
    </row>
    <row r="293" spans="1:58" ht="23.4" hidden="1" x14ac:dyDescent="0.25">
      <c r="A293" s="9">
        <v>292</v>
      </c>
      <c r="B293" s="10"/>
      <c r="C293" s="10"/>
      <c r="D293" s="10" t="s">
        <v>2376</v>
      </c>
      <c r="E293" s="10" t="s">
        <v>228</v>
      </c>
      <c r="F293" s="10" t="s">
        <v>810</v>
      </c>
      <c r="G293" s="23" t="str">
        <f>CONCATENATE(TRIM(الجدول2[[#This Row],[الاسم الأول]])," ",TRIM(الجدول2[[#This Row],[اسم الأب]])," ",TRIM(الجدول2[[#This Row],[الكنية]]))</f>
        <v>شذى محمود ديب</v>
      </c>
      <c r="H293" s="10"/>
      <c r="I293" s="11"/>
      <c r="J293" s="10" t="s">
        <v>58</v>
      </c>
      <c r="K293" s="10"/>
      <c r="L293" s="10"/>
      <c r="M293" s="10"/>
      <c r="N293" s="10"/>
      <c r="O293" s="12"/>
      <c r="P293" s="10"/>
      <c r="Q293" s="10"/>
      <c r="R293" s="11"/>
      <c r="S293" s="10"/>
      <c r="T293" s="10"/>
      <c r="U293" s="10"/>
      <c r="V293" s="10" t="s">
        <v>2286</v>
      </c>
      <c r="W293" s="10" t="s">
        <v>2287</v>
      </c>
      <c r="X293" s="10" t="s">
        <v>526</v>
      </c>
      <c r="Y293" s="10" t="s">
        <v>424</v>
      </c>
      <c r="Z293" s="10"/>
      <c r="AA293" s="10" t="s">
        <v>2560</v>
      </c>
      <c r="AB293" s="10"/>
      <c r="AC293" s="10" t="s">
        <v>73</v>
      </c>
      <c r="AD293" s="10" t="s">
        <v>74</v>
      </c>
      <c r="AE293" s="12"/>
      <c r="AF293" s="10"/>
      <c r="AG293" s="10"/>
      <c r="AH293" s="10" t="s">
        <v>2277</v>
      </c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2"/>
      <c r="AZ293" s="23" t="s">
        <v>80</v>
      </c>
      <c r="BA293" s="10" t="s">
        <v>501</v>
      </c>
      <c r="BB293" s="56" t="s">
        <v>2359</v>
      </c>
      <c r="BC293" s="10" t="s">
        <v>2446</v>
      </c>
      <c r="BD293" s="10"/>
      <c r="BE293" s="13"/>
      <c r="BF293" s="52"/>
    </row>
    <row r="294" spans="1:58" ht="23.4" hidden="1" x14ac:dyDescent="0.25">
      <c r="A294" s="9">
        <v>293</v>
      </c>
      <c r="B294" s="10"/>
      <c r="C294" s="10"/>
      <c r="D294" s="10" t="s">
        <v>2378</v>
      </c>
      <c r="E294" s="10"/>
      <c r="F294" s="10" t="s">
        <v>1001</v>
      </c>
      <c r="G294" s="23" t="str">
        <f>CONCATENATE(TRIM(الجدول2[[#This Row],[الاسم الأول]])," ",TRIM(الجدول2[[#This Row],[اسم الأب]])," ",TRIM(الجدول2[[#This Row],[الكنية]]))</f>
        <v>أيمن  أحمد</v>
      </c>
      <c r="H294" s="10"/>
      <c r="I294" s="11"/>
      <c r="J294" s="10" t="s">
        <v>58</v>
      </c>
      <c r="K294" s="10"/>
      <c r="L294" s="10"/>
      <c r="M294" s="10"/>
      <c r="N294" s="10"/>
      <c r="O294" s="12"/>
      <c r="P294" s="10"/>
      <c r="Q294" s="10"/>
      <c r="R294" s="11"/>
      <c r="S294" s="10"/>
      <c r="T294" s="10"/>
      <c r="U294" s="10"/>
      <c r="V294" s="10" t="s">
        <v>2286</v>
      </c>
      <c r="W294" s="10" t="s">
        <v>2287</v>
      </c>
      <c r="X294" s="10" t="s">
        <v>526</v>
      </c>
      <c r="Y294" s="10" t="s">
        <v>424</v>
      </c>
      <c r="Z294" s="10"/>
      <c r="AA294" s="10" t="s">
        <v>2560</v>
      </c>
      <c r="AB294" s="10"/>
      <c r="AC294" s="10" t="s">
        <v>73</v>
      </c>
      <c r="AD294" s="10" t="s">
        <v>74</v>
      </c>
      <c r="AE294" s="12"/>
      <c r="AF294" s="10"/>
      <c r="AG294" s="10"/>
      <c r="AH294" s="10" t="s">
        <v>2277</v>
      </c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2"/>
      <c r="AZ294" s="23" t="s">
        <v>80</v>
      </c>
      <c r="BA294" s="10" t="s">
        <v>501</v>
      </c>
      <c r="BB294" s="56" t="s">
        <v>2359</v>
      </c>
      <c r="BC294" s="10" t="s">
        <v>2446</v>
      </c>
      <c r="BD294" s="10"/>
      <c r="BE294" s="13"/>
      <c r="BF294" s="52"/>
    </row>
    <row r="295" spans="1:58" ht="23.4" hidden="1" x14ac:dyDescent="0.25">
      <c r="A295" s="9">
        <v>294</v>
      </c>
      <c r="B295" s="10"/>
      <c r="C295" s="10"/>
      <c r="D295" s="10" t="s">
        <v>131</v>
      </c>
      <c r="E295" s="10"/>
      <c r="F295" s="10" t="s">
        <v>2377</v>
      </c>
      <c r="G295" s="23" t="str">
        <f>CONCATENATE(TRIM(الجدول2[[#This Row],[الاسم الأول]])," ",TRIM(الجدول2[[#This Row],[اسم الأب]])," ",TRIM(الجدول2[[#This Row],[الكنية]]))</f>
        <v>علي  طريفي</v>
      </c>
      <c r="H295" s="10"/>
      <c r="I295" s="11"/>
      <c r="J295" s="10" t="s">
        <v>58</v>
      </c>
      <c r="K295" s="10"/>
      <c r="L295" s="10"/>
      <c r="M295" s="10"/>
      <c r="N295" s="10"/>
      <c r="O295" s="12"/>
      <c r="P295" s="10"/>
      <c r="Q295" s="10"/>
      <c r="R295" s="11"/>
      <c r="S295" s="10"/>
      <c r="T295" s="10"/>
      <c r="U295" s="10"/>
      <c r="V295" s="10" t="s">
        <v>2286</v>
      </c>
      <c r="W295" s="10" t="s">
        <v>2287</v>
      </c>
      <c r="X295" s="10" t="s">
        <v>526</v>
      </c>
      <c r="Y295" s="10" t="s">
        <v>424</v>
      </c>
      <c r="Z295" s="10"/>
      <c r="AA295" s="10" t="s">
        <v>2560</v>
      </c>
      <c r="AB295" s="10"/>
      <c r="AC295" s="10" t="s">
        <v>73</v>
      </c>
      <c r="AD295" s="10" t="s">
        <v>74</v>
      </c>
      <c r="AE295" s="12"/>
      <c r="AF295" s="10"/>
      <c r="AG295" s="10"/>
      <c r="AH295" s="10" t="s">
        <v>2277</v>
      </c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2"/>
      <c r="AZ295" s="23" t="s">
        <v>80</v>
      </c>
      <c r="BA295" s="10" t="s">
        <v>501</v>
      </c>
      <c r="BB295" s="56" t="s">
        <v>2359</v>
      </c>
      <c r="BC295" s="10" t="s">
        <v>2446</v>
      </c>
      <c r="BD295" s="10"/>
      <c r="BE295" s="13"/>
      <c r="BF295" s="52"/>
    </row>
    <row r="296" spans="1:58" ht="23.4" hidden="1" x14ac:dyDescent="0.25">
      <c r="A296" s="9">
        <v>295</v>
      </c>
      <c r="B296" s="10"/>
      <c r="C296" s="10"/>
      <c r="D296" s="10" t="s">
        <v>2379</v>
      </c>
      <c r="E296" s="10"/>
      <c r="F296" s="10" t="s">
        <v>131</v>
      </c>
      <c r="G296" s="23" t="str">
        <f>CONCATENATE(TRIM(الجدول2[[#This Row],[الاسم الأول]])," ",TRIM(الجدول2[[#This Row],[اسم الأب]])," ",TRIM(الجدول2[[#This Row],[الكنية]]))</f>
        <v>ثراء  علي</v>
      </c>
      <c r="H296" s="10"/>
      <c r="I296" s="11"/>
      <c r="J296" s="10" t="s">
        <v>58</v>
      </c>
      <c r="K296" s="10"/>
      <c r="L296" s="10"/>
      <c r="M296" s="10"/>
      <c r="N296" s="10"/>
      <c r="O296" s="12"/>
      <c r="P296" s="10"/>
      <c r="Q296" s="10"/>
      <c r="R296" s="11"/>
      <c r="S296" s="10"/>
      <c r="T296" s="10"/>
      <c r="U296" s="10"/>
      <c r="V296" s="10" t="s">
        <v>2286</v>
      </c>
      <c r="W296" s="10" t="s">
        <v>2287</v>
      </c>
      <c r="X296" s="10" t="s">
        <v>526</v>
      </c>
      <c r="Y296" s="10" t="s">
        <v>424</v>
      </c>
      <c r="Z296" s="10"/>
      <c r="AA296" s="10" t="s">
        <v>2560</v>
      </c>
      <c r="AB296" s="10"/>
      <c r="AC296" s="10" t="s">
        <v>73</v>
      </c>
      <c r="AD296" s="10" t="s">
        <v>74</v>
      </c>
      <c r="AE296" s="12"/>
      <c r="AF296" s="10"/>
      <c r="AG296" s="10"/>
      <c r="AH296" s="10" t="s">
        <v>2277</v>
      </c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2"/>
      <c r="AZ296" s="23" t="s">
        <v>80</v>
      </c>
      <c r="BA296" s="10" t="s">
        <v>501</v>
      </c>
      <c r="BB296" s="56" t="s">
        <v>2359</v>
      </c>
      <c r="BC296" s="10" t="s">
        <v>2446</v>
      </c>
      <c r="BD296" s="10"/>
      <c r="BE296" s="13"/>
      <c r="BF296" s="52"/>
    </row>
    <row r="297" spans="1:58" ht="23.4" hidden="1" x14ac:dyDescent="0.25">
      <c r="A297" s="9">
        <v>296</v>
      </c>
      <c r="B297" s="10"/>
      <c r="C297" s="10"/>
      <c r="D297" s="10" t="s">
        <v>2072</v>
      </c>
      <c r="E297" s="10"/>
      <c r="F297" s="10" t="s">
        <v>160</v>
      </c>
      <c r="G297" s="23" t="str">
        <f>CONCATENATE(TRIM(الجدول2[[#This Row],[الاسم الأول]])," ",TRIM(الجدول2[[#This Row],[اسم الأب]])," ",TRIM(الجدول2[[#This Row],[الكنية]]))</f>
        <v>هدى  صالح</v>
      </c>
      <c r="H297" s="10"/>
      <c r="I297" s="11"/>
      <c r="J297" s="10" t="s">
        <v>58</v>
      </c>
      <c r="K297" s="10"/>
      <c r="L297" s="10"/>
      <c r="M297" s="10"/>
      <c r="N297" s="10"/>
      <c r="O297" s="12"/>
      <c r="P297" s="10"/>
      <c r="Q297" s="10"/>
      <c r="R297" s="11"/>
      <c r="S297" s="10"/>
      <c r="T297" s="10"/>
      <c r="U297" s="10"/>
      <c r="V297" s="10" t="s">
        <v>2286</v>
      </c>
      <c r="W297" s="10" t="s">
        <v>2287</v>
      </c>
      <c r="X297" s="10" t="s">
        <v>526</v>
      </c>
      <c r="Y297" s="10" t="s">
        <v>424</v>
      </c>
      <c r="Z297" s="10"/>
      <c r="AA297" s="10" t="s">
        <v>2560</v>
      </c>
      <c r="AB297" s="10"/>
      <c r="AC297" s="10" t="s">
        <v>73</v>
      </c>
      <c r="AD297" s="10" t="s">
        <v>74</v>
      </c>
      <c r="AE297" s="12"/>
      <c r="AF297" s="10"/>
      <c r="AG297" s="10"/>
      <c r="AH297" s="10" t="s">
        <v>124</v>
      </c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2"/>
      <c r="AZ297" s="23" t="s">
        <v>80</v>
      </c>
      <c r="BA297" s="10" t="s">
        <v>501</v>
      </c>
      <c r="BB297" s="56" t="s">
        <v>2359</v>
      </c>
      <c r="BC297" s="10" t="s">
        <v>2446</v>
      </c>
      <c r="BD297" s="10"/>
      <c r="BE297" s="13"/>
      <c r="BF297" s="52"/>
    </row>
    <row r="298" spans="1:58" ht="23.4" hidden="1" x14ac:dyDescent="0.25">
      <c r="A298" s="9">
        <v>297</v>
      </c>
      <c r="B298" s="10"/>
      <c r="C298" s="10"/>
      <c r="D298" s="10" t="s">
        <v>131</v>
      </c>
      <c r="E298" s="10" t="s">
        <v>115</v>
      </c>
      <c r="F298" s="10" t="s">
        <v>930</v>
      </c>
      <c r="G298" s="23" t="str">
        <f>CONCATENATE(TRIM(الجدول2[[#This Row],[الاسم الأول]])," ",TRIM(الجدول2[[#This Row],[اسم الأب]])," ",TRIM(الجدول2[[#This Row],[الكنية]]))</f>
        <v>علي محمد مصطفى</v>
      </c>
      <c r="H298" s="10"/>
      <c r="I298" s="11"/>
      <c r="J298" s="10" t="s">
        <v>58</v>
      </c>
      <c r="K298" s="10"/>
      <c r="L298" s="10"/>
      <c r="M298" s="10"/>
      <c r="N298" s="10"/>
      <c r="O298" s="12"/>
      <c r="P298" s="10"/>
      <c r="Q298" s="10"/>
      <c r="R298" s="11"/>
      <c r="S298" s="10"/>
      <c r="T298" s="10"/>
      <c r="U298" s="10"/>
      <c r="V298" s="10" t="s">
        <v>2460</v>
      </c>
      <c r="W298" s="10"/>
      <c r="X298" s="10" t="s">
        <v>2434</v>
      </c>
      <c r="Y298" s="10"/>
      <c r="Z298" s="10"/>
      <c r="AA298" s="10" t="s">
        <v>2560</v>
      </c>
      <c r="AB298" s="10"/>
      <c r="AC298" s="10" t="s">
        <v>73</v>
      </c>
      <c r="AD298" s="10" t="s">
        <v>74</v>
      </c>
      <c r="AE298" s="12"/>
      <c r="AF298" s="10"/>
      <c r="AG298" s="10"/>
      <c r="AH298" s="10" t="s">
        <v>2277</v>
      </c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2"/>
      <c r="AZ298" s="23" t="s">
        <v>80</v>
      </c>
      <c r="BA298" s="10" t="s">
        <v>210</v>
      </c>
      <c r="BB298" s="56" t="s">
        <v>2359</v>
      </c>
      <c r="BC298" s="10" t="s">
        <v>2446</v>
      </c>
      <c r="BD298" s="10"/>
      <c r="BE298" s="13"/>
      <c r="BF298" s="52"/>
    </row>
    <row r="299" spans="1:58" ht="23.4" hidden="1" x14ac:dyDescent="0.25">
      <c r="A299" s="9">
        <v>298</v>
      </c>
      <c r="B299" s="10"/>
      <c r="C299" s="10"/>
      <c r="D299" s="10" t="s">
        <v>616</v>
      </c>
      <c r="E299" s="10" t="s">
        <v>1001</v>
      </c>
      <c r="F299" s="10" t="s">
        <v>2380</v>
      </c>
      <c r="G299" s="23" t="str">
        <f>CONCATENATE(TRIM(الجدول2[[#This Row],[الاسم الأول]])," ",TRIM(الجدول2[[#This Row],[اسم الأب]])," ",TRIM(الجدول2[[#This Row],[الكنية]]))</f>
        <v>دارين أحمد معروف</v>
      </c>
      <c r="H299" s="10"/>
      <c r="I299" s="11"/>
      <c r="J299" s="10" t="s">
        <v>58</v>
      </c>
      <c r="K299" s="10"/>
      <c r="L299" s="10"/>
      <c r="M299" s="10"/>
      <c r="N299" s="10"/>
      <c r="O299" s="12"/>
      <c r="P299" s="10"/>
      <c r="Q299" s="10"/>
      <c r="R299" s="11"/>
      <c r="S299" s="10"/>
      <c r="T299" s="10"/>
      <c r="U299" s="10"/>
      <c r="V299" s="10" t="s">
        <v>2286</v>
      </c>
      <c r="W299" s="10" t="s">
        <v>2287</v>
      </c>
      <c r="X299" s="10" t="s">
        <v>526</v>
      </c>
      <c r="Y299" s="10" t="s">
        <v>424</v>
      </c>
      <c r="Z299" s="10"/>
      <c r="AA299" s="10" t="s">
        <v>2560</v>
      </c>
      <c r="AB299" s="10"/>
      <c r="AC299" s="10" t="s">
        <v>73</v>
      </c>
      <c r="AD299" s="10" t="s">
        <v>74</v>
      </c>
      <c r="AE299" s="12"/>
      <c r="AF299" s="10"/>
      <c r="AG299" s="10"/>
      <c r="AH299" s="10" t="s">
        <v>124</v>
      </c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2"/>
      <c r="AZ299" s="23" t="s">
        <v>80</v>
      </c>
      <c r="BA299" s="10" t="s">
        <v>210</v>
      </c>
      <c r="BB299" s="56" t="s">
        <v>2359</v>
      </c>
      <c r="BC299" s="10" t="s">
        <v>2446</v>
      </c>
      <c r="BD299" s="10"/>
      <c r="BE299" s="13"/>
      <c r="BF299" s="52"/>
    </row>
    <row r="300" spans="1:58" ht="23.4" hidden="1" x14ac:dyDescent="0.25">
      <c r="A300" s="9">
        <v>299</v>
      </c>
      <c r="B300" s="10"/>
      <c r="C300" s="10"/>
      <c r="D300" s="10" t="s">
        <v>2382</v>
      </c>
      <c r="E300" s="10"/>
      <c r="F300" s="10" t="s">
        <v>160</v>
      </c>
      <c r="G300" s="23" t="str">
        <f>CONCATENATE(TRIM(الجدول2[[#This Row],[الاسم الأول]])," ",TRIM(الجدول2[[#This Row],[اسم الأب]])," ",TRIM(الجدول2[[#This Row],[الكنية]]))</f>
        <v>ديمه  صالح</v>
      </c>
      <c r="H300" s="10"/>
      <c r="I300" s="11"/>
      <c r="J300" s="10" t="s">
        <v>58</v>
      </c>
      <c r="K300" s="10"/>
      <c r="L300" s="10"/>
      <c r="M300" s="10"/>
      <c r="N300" s="10"/>
      <c r="O300" s="12"/>
      <c r="P300" s="10"/>
      <c r="Q300" s="10"/>
      <c r="R300" s="11"/>
      <c r="S300" s="10"/>
      <c r="T300" s="10"/>
      <c r="U300" s="10"/>
      <c r="V300" s="10" t="s">
        <v>2286</v>
      </c>
      <c r="W300" s="10" t="s">
        <v>2287</v>
      </c>
      <c r="X300" s="10" t="s">
        <v>526</v>
      </c>
      <c r="Y300" s="10" t="s">
        <v>424</v>
      </c>
      <c r="Z300" s="10"/>
      <c r="AA300" s="10" t="s">
        <v>2560</v>
      </c>
      <c r="AB300" s="10"/>
      <c r="AC300" s="10" t="s">
        <v>73</v>
      </c>
      <c r="AD300" s="10" t="s">
        <v>74</v>
      </c>
      <c r="AE300" s="12"/>
      <c r="AF300" s="10"/>
      <c r="AG300" s="10"/>
      <c r="AH300" s="10" t="s">
        <v>124</v>
      </c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2"/>
      <c r="AZ300" s="23" t="s">
        <v>80</v>
      </c>
      <c r="BA300" s="10" t="s">
        <v>210</v>
      </c>
      <c r="BB300" s="56" t="s">
        <v>2359</v>
      </c>
      <c r="BC300" s="10" t="s">
        <v>2446</v>
      </c>
      <c r="BD300" s="10"/>
      <c r="BE300" s="13"/>
      <c r="BF300" s="52"/>
    </row>
    <row r="301" spans="1:58" ht="23.4" hidden="1" x14ac:dyDescent="0.25">
      <c r="A301" s="9">
        <v>300</v>
      </c>
      <c r="B301" s="10"/>
      <c r="C301" s="10"/>
      <c r="D301" s="10" t="s">
        <v>2383</v>
      </c>
      <c r="E301" s="10"/>
      <c r="F301" s="10" t="s">
        <v>2381</v>
      </c>
      <c r="G301" s="23" t="str">
        <f>CONCATENATE(TRIM(الجدول2[[#This Row],[الاسم الأول]])," ",TRIM(الجدول2[[#This Row],[اسم الأب]])," ",TRIM(الجدول2[[#This Row],[الكنية]]))</f>
        <v>مدين  زغيبة</v>
      </c>
      <c r="H301" s="10"/>
      <c r="I301" s="11"/>
      <c r="J301" s="10" t="s">
        <v>58</v>
      </c>
      <c r="K301" s="10"/>
      <c r="L301" s="10"/>
      <c r="M301" s="10"/>
      <c r="N301" s="10"/>
      <c r="O301" s="12"/>
      <c r="P301" s="10"/>
      <c r="Q301" s="10"/>
      <c r="R301" s="11"/>
      <c r="S301" s="10"/>
      <c r="T301" s="10"/>
      <c r="U301" s="10"/>
      <c r="V301" s="10" t="s">
        <v>2286</v>
      </c>
      <c r="W301" s="10" t="s">
        <v>2287</v>
      </c>
      <c r="X301" s="10" t="s">
        <v>526</v>
      </c>
      <c r="Y301" s="10" t="s">
        <v>424</v>
      </c>
      <c r="Z301" s="10"/>
      <c r="AA301" s="10" t="s">
        <v>2560</v>
      </c>
      <c r="AB301" s="10"/>
      <c r="AC301" s="10" t="s">
        <v>73</v>
      </c>
      <c r="AD301" s="10" t="s">
        <v>74</v>
      </c>
      <c r="AE301" s="12"/>
      <c r="AF301" s="10"/>
      <c r="AG301" s="10"/>
      <c r="AH301" s="10" t="s">
        <v>157</v>
      </c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2"/>
      <c r="AZ301" s="23" t="s">
        <v>80</v>
      </c>
      <c r="BA301" s="10" t="s">
        <v>210</v>
      </c>
      <c r="BB301" s="56" t="s">
        <v>2359</v>
      </c>
      <c r="BC301" s="10" t="s">
        <v>2446</v>
      </c>
      <c r="BD301" s="10"/>
      <c r="BE301" s="13"/>
      <c r="BF301" s="52"/>
    </row>
    <row r="302" spans="1:58" ht="23.4" hidden="1" x14ac:dyDescent="0.25">
      <c r="A302" s="9">
        <v>301</v>
      </c>
      <c r="B302" s="10"/>
      <c r="C302" s="10"/>
      <c r="D302" s="10" t="s">
        <v>2384</v>
      </c>
      <c r="E302" s="10"/>
      <c r="F302" s="10" t="s">
        <v>955</v>
      </c>
      <c r="G302" s="23" t="str">
        <f>CONCATENATE(TRIM(الجدول2[[#This Row],[الاسم الأول]])," ",TRIM(الجدول2[[#This Row],[اسم الأب]])," ",TRIM(الجدول2[[#This Row],[الكنية]]))</f>
        <v>فاروق  حمادي</v>
      </c>
      <c r="H302" s="10"/>
      <c r="I302" s="11"/>
      <c r="J302" s="10" t="s">
        <v>58</v>
      </c>
      <c r="K302" s="10"/>
      <c r="L302" s="10"/>
      <c r="M302" s="10"/>
      <c r="N302" s="10"/>
      <c r="O302" s="12"/>
      <c r="P302" s="10"/>
      <c r="Q302" s="10"/>
      <c r="R302" s="11"/>
      <c r="S302" s="10"/>
      <c r="T302" s="10"/>
      <c r="U302" s="10"/>
      <c r="V302" s="10" t="s">
        <v>2286</v>
      </c>
      <c r="W302" s="10" t="s">
        <v>2287</v>
      </c>
      <c r="X302" s="10" t="s">
        <v>526</v>
      </c>
      <c r="Y302" s="10" t="s">
        <v>424</v>
      </c>
      <c r="Z302" s="10"/>
      <c r="AA302" s="10" t="s">
        <v>2560</v>
      </c>
      <c r="AB302" s="10"/>
      <c r="AC302" s="10" t="s">
        <v>73</v>
      </c>
      <c r="AD302" s="10" t="s">
        <v>74</v>
      </c>
      <c r="AE302" s="12"/>
      <c r="AF302" s="10"/>
      <c r="AG302" s="10"/>
      <c r="AH302" s="10" t="s">
        <v>2277</v>
      </c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2"/>
      <c r="AZ302" s="23" t="s">
        <v>80</v>
      </c>
      <c r="BA302" s="10" t="s">
        <v>2447</v>
      </c>
      <c r="BB302" s="56" t="s">
        <v>2359</v>
      </c>
      <c r="BC302" s="10" t="s">
        <v>2446</v>
      </c>
      <c r="BD302" s="10"/>
      <c r="BE302" s="13"/>
      <c r="BF302" s="52"/>
    </row>
    <row r="303" spans="1:58" ht="23.4" hidden="1" x14ac:dyDescent="0.25">
      <c r="A303" s="9">
        <v>302</v>
      </c>
      <c r="B303" s="10"/>
      <c r="C303" s="10"/>
      <c r="D303" s="10" t="s">
        <v>115</v>
      </c>
      <c r="E303" s="10" t="s">
        <v>506</v>
      </c>
      <c r="F303" s="10" t="s">
        <v>1001</v>
      </c>
      <c r="G303" s="23" t="str">
        <f>CONCATENATE(TRIM(الجدول2[[#This Row],[الاسم الأول]])," ",TRIM(الجدول2[[#This Row],[اسم الأب]])," ",TRIM(الجدول2[[#This Row],[الكنية]]))</f>
        <v>محمد عيسى أحمد</v>
      </c>
      <c r="H303" s="10"/>
      <c r="I303" s="11"/>
      <c r="J303" s="10" t="s">
        <v>58</v>
      </c>
      <c r="K303" s="10"/>
      <c r="L303" s="10"/>
      <c r="M303" s="10"/>
      <c r="N303" s="10"/>
      <c r="O303" s="12"/>
      <c r="P303" s="10"/>
      <c r="Q303" s="10"/>
      <c r="R303" s="11"/>
      <c r="S303" s="10"/>
      <c r="T303" s="10"/>
      <c r="U303" s="10"/>
      <c r="V303" s="10" t="s">
        <v>2286</v>
      </c>
      <c r="W303" s="10" t="s">
        <v>2287</v>
      </c>
      <c r="X303" s="10" t="s">
        <v>526</v>
      </c>
      <c r="Y303" s="10" t="s">
        <v>424</v>
      </c>
      <c r="Z303" s="10"/>
      <c r="AA303" s="10" t="s">
        <v>2560</v>
      </c>
      <c r="AB303" s="10"/>
      <c r="AC303" s="10" t="s">
        <v>73</v>
      </c>
      <c r="AD303" s="10" t="s">
        <v>74</v>
      </c>
      <c r="AE303" s="12"/>
      <c r="AF303" s="10"/>
      <c r="AG303" s="10"/>
      <c r="AH303" s="10" t="s">
        <v>2277</v>
      </c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2"/>
      <c r="AZ303" s="23" t="s">
        <v>80</v>
      </c>
      <c r="BA303" s="10" t="s">
        <v>2447</v>
      </c>
      <c r="BB303" s="56" t="s">
        <v>2359</v>
      </c>
      <c r="BC303" s="10" t="s">
        <v>2446</v>
      </c>
      <c r="BD303" s="10"/>
      <c r="BE303" s="13"/>
      <c r="BF303" s="52"/>
    </row>
    <row r="304" spans="1:58" ht="23.4" hidden="1" x14ac:dyDescent="0.25">
      <c r="A304" s="9">
        <v>303</v>
      </c>
      <c r="B304" s="10"/>
      <c r="C304" s="10"/>
      <c r="D304" s="10" t="s">
        <v>1699</v>
      </c>
      <c r="E304" s="10" t="s">
        <v>411</v>
      </c>
      <c r="F304" s="10" t="s">
        <v>53</v>
      </c>
      <c r="G304" s="23" t="str">
        <f>CONCATENATE(TRIM(الجدول2[[#This Row],[الاسم الأول]])," ",TRIM(الجدول2[[#This Row],[اسم الأب]])," ",TRIM(الجدول2[[#This Row],[الكنية]]))</f>
        <v>مرح سليمان ابراهيم</v>
      </c>
      <c r="H304" s="10"/>
      <c r="I304" s="11"/>
      <c r="J304" s="10" t="s">
        <v>58</v>
      </c>
      <c r="K304" s="10"/>
      <c r="L304" s="10"/>
      <c r="M304" s="10"/>
      <c r="N304" s="10"/>
      <c r="O304" s="12"/>
      <c r="P304" s="10"/>
      <c r="Q304" s="10"/>
      <c r="R304" s="11"/>
      <c r="S304" s="10"/>
      <c r="T304" s="10"/>
      <c r="U304" s="10"/>
      <c r="V304" s="10" t="s">
        <v>2286</v>
      </c>
      <c r="W304" s="10" t="s">
        <v>2287</v>
      </c>
      <c r="X304" s="10" t="s">
        <v>526</v>
      </c>
      <c r="Y304" s="10" t="s">
        <v>424</v>
      </c>
      <c r="Z304" s="10"/>
      <c r="AA304" s="10" t="s">
        <v>2560</v>
      </c>
      <c r="AB304" s="10"/>
      <c r="AC304" s="10" t="s">
        <v>73</v>
      </c>
      <c r="AD304" s="10" t="s">
        <v>74</v>
      </c>
      <c r="AE304" s="12"/>
      <c r="AF304" s="10"/>
      <c r="AG304" s="10"/>
      <c r="AH304" s="10" t="s">
        <v>2277</v>
      </c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2"/>
      <c r="AZ304" s="23" t="s">
        <v>80</v>
      </c>
      <c r="BA304" s="10" t="s">
        <v>2447</v>
      </c>
      <c r="BB304" s="56" t="s">
        <v>2359</v>
      </c>
      <c r="BC304" s="10" t="s">
        <v>2446</v>
      </c>
      <c r="BD304" s="10"/>
      <c r="BE304" s="13"/>
      <c r="BF304" s="52"/>
    </row>
    <row r="305" spans="1:58" ht="23.4" hidden="1" x14ac:dyDescent="0.25">
      <c r="A305" s="9">
        <v>304</v>
      </c>
      <c r="B305" s="10"/>
      <c r="C305" s="10"/>
      <c r="D305" s="10" t="s">
        <v>2385</v>
      </c>
      <c r="E305" s="10"/>
      <c r="F305" s="10" t="s">
        <v>1859</v>
      </c>
      <c r="G305" s="23" t="str">
        <f>CONCATENATE(TRIM(الجدول2[[#This Row],[الاسم الأول]])," ",TRIM(الجدول2[[#This Row],[اسم الأب]])," ",TRIM(الجدول2[[#This Row],[الكنية]]))</f>
        <v>غيداء  حماد</v>
      </c>
      <c r="H305" s="10"/>
      <c r="I305" s="11"/>
      <c r="J305" s="10" t="s">
        <v>58</v>
      </c>
      <c r="K305" s="10"/>
      <c r="L305" s="10"/>
      <c r="M305" s="10"/>
      <c r="N305" s="10"/>
      <c r="O305" s="12"/>
      <c r="P305" s="10"/>
      <c r="Q305" s="10"/>
      <c r="R305" s="11"/>
      <c r="S305" s="10"/>
      <c r="T305" s="10"/>
      <c r="U305" s="10"/>
      <c r="V305" s="10" t="s">
        <v>2286</v>
      </c>
      <c r="W305" s="10" t="s">
        <v>2287</v>
      </c>
      <c r="X305" s="10" t="s">
        <v>526</v>
      </c>
      <c r="Y305" s="10" t="s">
        <v>2433</v>
      </c>
      <c r="Z305" s="10"/>
      <c r="AA305" s="10" t="s">
        <v>2560</v>
      </c>
      <c r="AB305" s="10"/>
      <c r="AC305" s="10" t="s">
        <v>73</v>
      </c>
      <c r="AD305" s="10" t="s">
        <v>74</v>
      </c>
      <c r="AE305" s="12"/>
      <c r="AF305" s="10"/>
      <c r="AG305" s="10"/>
      <c r="AH305" s="10" t="s">
        <v>2277</v>
      </c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2"/>
      <c r="AZ305" s="23" t="s">
        <v>80</v>
      </c>
      <c r="BA305" s="10" t="s">
        <v>69</v>
      </c>
      <c r="BB305" s="56" t="s">
        <v>2359</v>
      </c>
      <c r="BC305" s="10" t="s">
        <v>2446</v>
      </c>
      <c r="BD305" s="10"/>
      <c r="BE305" s="13"/>
      <c r="BF305" s="52"/>
    </row>
    <row r="306" spans="1:58" ht="23.4" hidden="1" x14ac:dyDescent="0.25">
      <c r="A306" s="9">
        <v>305</v>
      </c>
      <c r="B306" s="10"/>
      <c r="C306" s="10"/>
      <c r="D306" s="10" t="s">
        <v>531</v>
      </c>
      <c r="E306" s="10"/>
      <c r="F306" s="10" t="s">
        <v>2386</v>
      </c>
      <c r="G306" s="23" t="str">
        <f>CONCATENATE(TRIM(الجدول2[[#This Row],[الاسم الأول]])," ",TRIM(الجدول2[[#This Row],[اسم الأب]])," ",TRIM(الجدول2[[#This Row],[الكنية]]))</f>
        <v>هند  عثمان</v>
      </c>
      <c r="H306" s="10"/>
      <c r="I306" s="11"/>
      <c r="J306" s="10" t="s">
        <v>58</v>
      </c>
      <c r="K306" s="10"/>
      <c r="L306" s="10"/>
      <c r="M306" s="10"/>
      <c r="N306" s="10"/>
      <c r="O306" s="12"/>
      <c r="P306" s="10"/>
      <c r="Q306" s="10"/>
      <c r="R306" s="11"/>
      <c r="S306" s="10"/>
      <c r="T306" s="10"/>
      <c r="U306" s="10"/>
      <c r="V306" s="10" t="s">
        <v>2286</v>
      </c>
      <c r="W306" s="10" t="s">
        <v>2287</v>
      </c>
      <c r="X306" s="10" t="s">
        <v>526</v>
      </c>
      <c r="Y306" s="10" t="s">
        <v>2433</v>
      </c>
      <c r="Z306" s="10"/>
      <c r="AA306" s="10" t="s">
        <v>2560</v>
      </c>
      <c r="AB306" s="10"/>
      <c r="AC306" s="10" t="s">
        <v>73</v>
      </c>
      <c r="AD306" s="10" t="s">
        <v>74</v>
      </c>
      <c r="AE306" s="12"/>
      <c r="AF306" s="10"/>
      <c r="AG306" s="10"/>
      <c r="AH306" s="10" t="s">
        <v>2277</v>
      </c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2"/>
      <c r="AZ306" s="23" t="s">
        <v>80</v>
      </c>
      <c r="BA306" s="10" t="s">
        <v>69</v>
      </c>
      <c r="BB306" s="56" t="s">
        <v>2359</v>
      </c>
      <c r="BC306" s="10" t="s">
        <v>2446</v>
      </c>
      <c r="BD306" s="10"/>
      <c r="BE306" s="13"/>
      <c r="BF306" s="52"/>
    </row>
    <row r="307" spans="1:58" ht="23.4" hidden="1" x14ac:dyDescent="0.25">
      <c r="A307" s="9">
        <v>306</v>
      </c>
      <c r="B307" s="10"/>
      <c r="C307" s="10"/>
      <c r="D307" s="10" t="s">
        <v>2388</v>
      </c>
      <c r="E307" s="10"/>
      <c r="F307" s="10" t="s">
        <v>1241</v>
      </c>
      <c r="G307" s="23" t="str">
        <f>CONCATENATE(TRIM(الجدول2[[#This Row],[الاسم الأول]])," ",TRIM(الجدول2[[#This Row],[اسم الأب]])," ",TRIM(الجدول2[[#This Row],[الكنية]]))</f>
        <v>ناهد  حسون</v>
      </c>
      <c r="H307" s="10"/>
      <c r="I307" s="11"/>
      <c r="J307" s="10" t="s">
        <v>58</v>
      </c>
      <c r="K307" s="10"/>
      <c r="L307" s="10"/>
      <c r="M307" s="10"/>
      <c r="N307" s="10"/>
      <c r="O307" s="12"/>
      <c r="P307" s="10"/>
      <c r="Q307" s="10"/>
      <c r="R307" s="11"/>
      <c r="S307" s="10"/>
      <c r="T307" s="10"/>
      <c r="U307" s="10"/>
      <c r="V307" s="10" t="s">
        <v>2286</v>
      </c>
      <c r="W307" s="10" t="s">
        <v>2287</v>
      </c>
      <c r="X307" s="10" t="s">
        <v>526</v>
      </c>
      <c r="Y307" s="10" t="s">
        <v>424</v>
      </c>
      <c r="Z307" s="10"/>
      <c r="AA307" s="10" t="s">
        <v>2560</v>
      </c>
      <c r="AB307" s="10"/>
      <c r="AC307" s="10" t="s">
        <v>73</v>
      </c>
      <c r="AD307" s="10" t="s">
        <v>74</v>
      </c>
      <c r="AE307" s="12"/>
      <c r="AF307" s="10"/>
      <c r="AG307" s="10"/>
      <c r="AH307" s="10" t="s">
        <v>124</v>
      </c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2"/>
      <c r="AZ307" s="23" t="s">
        <v>80</v>
      </c>
      <c r="BA307" s="10" t="s">
        <v>69</v>
      </c>
      <c r="BB307" s="56" t="s">
        <v>2359</v>
      </c>
      <c r="BC307" s="10" t="s">
        <v>2446</v>
      </c>
      <c r="BD307" s="10"/>
      <c r="BE307" s="13"/>
      <c r="BF307" s="52"/>
    </row>
    <row r="308" spans="1:58" ht="23.4" hidden="1" x14ac:dyDescent="0.25">
      <c r="A308" s="9">
        <v>307</v>
      </c>
      <c r="B308" s="10"/>
      <c r="C308" s="10"/>
      <c r="D308" s="10" t="s">
        <v>985</v>
      </c>
      <c r="E308" s="10" t="s">
        <v>2389</v>
      </c>
      <c r="F308" s="10" t="s">
        <v>2387</v>
      </c>
      <c r="G308" s="23" t="str">
        <f>CONCATENATE(TRIM(الجدول2[[#This Row],[الاسم الأول]])," ",TRIM(الجدول2[[#This Row],[اسم الأب]])," ",TRIM(الجدول2[[#This Row],[الكنية]]))</f>
        <v>زينة انطونيوس صباغ</v>
      </c>
      <c r="H308" s="10"/>
      <c r="I308" s="11"/>
      <c r="J308" s="10" t="s">
        <v>58</v>
      </c>
      <c r="K308" s="10"/>
      <c r="L308" s="10"/>
      <c r="M308" s="10"/>
      <c r="N308" s="10"/>
      <c r="O308" s="12"/>
      <c r="P308" s="10"/>
      <c r="Q308" s="10"/>
      <c r="R308" s="11"/>
      <c r="S308" s="10"/>
      <c r="T308" s="10"/>
      <c r="U308" s="10"/>
      <c r="V308" s="10" t="s">
        <v>2286</v>
      </c>
      <c r="W308" s="10" t="s">
        <v>2287</v>
      </c>
      <c r="X308" s="10" t="s">
        <v>526</v>
      </c>
      <c r="Y308" s="10" t="s">
        <v>424</v>
      </c>
      <c r="Z308" s="10"/>
      <c r="AA308" s="10" t="s">
        <v>2560</v>
      </c>
      <c r="AB308" s="10"/>
      <c r="AC308" s="10" t="s">
        <v>73</v>
      </c>
      <c r="AD308" s="10" t="s">
        <v>74</v>
      </c>
      <c r="AE308" s="12"/>
      <c r="AF308" s="10"/>
      <c r="AG308" s="10"/>
      <c r="AH308" s="10" t="s">
        <v>124</v>
      </c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2"/>
      <c r="AZ308" s="23" t="s">
        <v>80</v>
      </c>
      <c r="BA308" s="10" t="s">
        <v>69</v>
      </c>
      <c r="BB308" s="56" t="s">
        <v>2359</v>
      </c>
      <c r="BC308" s="10" t="s">
        <v>2446</v>
      </c>
      <c r="BD308" s="10"/>
      <c r="BE308" s="13"/>
      <c r="BF308" s="52"/>
    </row>
    <row r="309" spans="1:58" ht="23.4" hidden="1" x14ac:dyDescent="0.25">
      <c r="A309" s="9">
        <v>308</v>
      </c>
      <c r="B309" s="10"/>
      <c r="C309" s="10"/>
      <c r="D309" s="10" t="s">
        <v>2391</v>
      </c>
      <c r="E309" s="10"/>
      <c r="F309" s="10" t="s">
        <v>131</v>
      </c>
      <c r="G309" s="23" t="str">
        <f>CONCATENATE(TRIM(الجدول2[[#This Row],[الاسم الأول]])," ",TRIM(الجدول2[[#This Row],[اسم الأب]])," ",TRIM(الجدول2[[#This Row],[الكنية]]))</f>
        <v>نبيلة  علي</v>
      </c>
      <c r="H309" s="10"/>
      <c r="I309" s="11"/>
      <c r="J309" s="10" t="s">
        <v>58</v>
      </c>
      <c r="K309" s="10"/>
      <c r="L309" s="10"/>
      <c r="M309" s="10"/>
      <c r="N309" s="10"/>
      <c r="O309" s="12"/>
      <c r="P309" s="10"/>
      <c r="Q309" s="10"/>
      <c r="R309" s="11"/>
      <c r="S309" s="10"/>
      <c r="T309" s="10"/>
      <c r="U309" s="10"/>
      <c r="V309" s="10" t="s">
        <v>2286</v>
      </c>
      <c r="W309" s="10" t="s">
        <v>2287</v>
      </c>
      <c r="X309" s="10" t="s">
        <v>526</v>
      </c>
      <c r="Y309" s="10" t="s">
        <v>424</v>
      </c>
      <c r="Z309" s="10"/>
      <c r="AA309" s="10" t="s">
        <v>2560</v>
      </c>
      <c r="AB309" s="10"/>
      <c r="AC309" s="10" t="s">
        <v>73</v>
      </c>
      <c r="AD309" s="10" t="s">
        <v>74</v>
      </c>
      <c r="AE309" s="12"/>
      <c r="AF309" s="10"/>
      <c r="AG309" s="10"/>
      <c r="AH309" s="10" t="s">
        <v>2277</v>
      </c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2"/>
      <c r="AZ309" s="23" t="s">
        <v>80</v>
      </c>
      <c r="BA309" s="10" t="s">
        <v>2448</v>
      </c>
      <c r="BB309" s="56" t="s">
        <v>2359</v>
      </c>
      <c r="BC309" s="10" t="s">
        <v>2446</v>
      </c>
      <c r="BD309" s="10"/>
      <c r="BE309" s="13"/>
      <c r="BF309" s="52"/>
    </row>
    <row r="310" spans="1:58" ht="23.4" hidden="1" x14ac:dyDescent="0.25">
      <c r="A310" s="9">
        <v>309</v>
      </c>
      <c r="B310" s="10"/>
      <c r="C310" s="10"/>
      <c r="D310" s="10" t="s">
        <v>1503</v>
      </c>
      <c r="E310" s="10" t="s">
        <v>115</v>
      </c>
      <c r="F310" s="10" t="s">
        <v>2390</v>
      </c>
      <c r="G310" s="23" t="str">
        <f>CONCATENATE(TRIM(الجدول2[[#This Row],[الاسم الأول]])," ",TRIM(الجدول2[[#This Row],[اسم الأب]])," ",TRIM(الجدول2[[#This Row],[الكنية]]))</f>
        <v>لما محمد ادريس</v>
      </c>
      <c r="H310" s="10"/>
      <c r="I310" s="11"/>
      <c r="J310" s="10" t="s">
        <v>58</v>
      </c>
      <c r="K310" s="10"/>
      <c r="L310" s="10"/>
      <c r="M310" s="10"/>
      <c r="N310" s="10"/>
      <c r="O310" s="12"/>
      <c r="P310" s="10"/>
      <c r="Q310" s="10"/>
      <c r="R310" s="11"/>
      <c r="S310" s="10"/>
      <c r="T310" s="10"/>
      <c r="U310" s="10"/>
      <c r="V310" s="10" t="s">
        <v>2286</v>
      </c>
      <c r="W310" s="10" t="s">
        <v>2287</v>
      </c>
      <c r="X310" s="10" t="s">
        <v>526</v>
      </c>
      <c r="Y310" s="10" t="s">
        <v>2433</v>
      </c>
      <c r="Z310" s="10"/>
      <c r="AA310" s="10" t="s">
        <v>2560</v>
      </c>
      <c r="AB310" s="10"/>
      <c r="AC310" s="10" t="s">
        <v>73</v>
      </c>
      <c r="AD310" s="10" t="s">
        <v>2445</v>
      </c>
      <c r="AE310" s="12"/>
      <c r="AF310" s="10"/>
      <c r="AG310" s="10"/>
      <c r="AH310" s="10" t="s">
        <v>2277</v>
      </c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2"/>
      <c r="AZ310" s="23" t="s">
        <v>80</v>
      </c>
      <c r="BA310" s="10" t="s">
        <v>2448</v>
      </c>
      <c r="BB310" s="56" t="s">
        <v>2359</v>
      </c>
      <c r="BC310" s="10" t="s">
        <v>2446</v>
      </c>
      <c r="BD310" s="10"/>
      <c r="BE310" s="13"/>
      <c r="BF310" s="52"/>
    </row>
    <row r="311" spans="1:58" ht="23.4" hidden="1" x14ac:dyDescent="0.25">
      <c r="A311" s="9">
        <v>310</v>
      </c>
      <c r="B311" s="10"/>
      <c r="C311" s="10"/>
      <c r="D311" s="10" t="s">
        <v>2392</v>
      </c>
      <c r="E311" s="10"/>
      <c r="F311" s="10" t="s">
        <v>438</v>
      </c>
      <c r="G311" s="23" t="str">
        <f>CONCATENATE(TRIM(الجدول2[[#This Row],[الاسم الأول]])," ",TRIM(الجدول2[[#This Row],[اسم الأب]])," ",TRIM(الجدول2[[#This Row],[الكنية]]))</f>
        <v>ضحى  الشيخ</v>
      </c>
      <c r="H311" s="10"/>
      <c r="I311" s="11"/>
      <c r="J311" s="10" t="s">
        <v>58</v>
      </c>
      <c r="K311" s="10"/>
      <c r="L311" s="10"/>
      <c r="M311" s="10"/>
      <c r="N311" s="10"/>
      <c r="O311" s="12"/>
      <c r="P311" s="10"/>
      <c r="Q311" s="10"/>
      <c r="R311" s="11"/>
      <c r="S311" s="10"/>
      <c r="T311" s="10"/>
      <c r="U311" s="10"/>
      <c r="V311" s="10" t="s">
        <v>2286</v>
      </c>
      <c r="W311" s="10" t="s">
        <v>2287</v>
      </c>
      <c r="X311" s="10" t="s">
        <v>526</v>
      </c>
      <c r="Y311" s="10" t="s">
        <v>424</v>
      </c>
      <c r="Z311" s="10"/>
      <c r="AA311" s="10" t="s">
        <v>2560</v>
      </c>
      <c r="AB311" s="10"/>
      <c r="AC311" s="10" t="s">
        <v>73</v>
      </c>
      <c r="AD311" s="10" t="s">
        <v>74</v>
      </c>
      <c r="AE311" s="12"/>
      <c r="AF311" s="10"/>
      <c r="AG311" s="10"/>
      <c r="AH311" s="10" t="s">
        <v>2277</v>
      </c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2"/>
      <c r="AZ311" s="23" t="s">
        <v>80</v>
      </c>
      <c r="BA311" s="10" t="s">
        <v>2448</v>
      </c>
      <c r="BB311" s="56" t="s">
        <v>2359</v>
      </c>
      <c r="BC311" s="10" t="s">
        <v>2446</v>
      </c>
      <c r="BD311" s="10"/>
      <c r="BE311" s="13"/>
      <c r="BF311" s="52"/>
    </row>
    <row r="312" spans="1:58" ht="23.4" hidden="1" x14ac:dyDescent="0.25">
      <c r="A312" s="9">
        <v>311</v>
      </c>
      <c r="B312" s="10"/>
      <c r="C312" s="10"/>
      <c r="D312" s="10" t="s">
        <v>1104</v>
      </c>
      <c r="E312" s="10" t="s">
        <v>228</v>
      </c>
      <c r="F312" s="10" t="s">
        <v>115</v>
      </c>
      <c r="G312" s="23" t="str">
        <f>CONCATENATE(TRIM(الجدول2[[#This Row],[الاسم الأول]])," ",TRIM(الجدول2[[#This Row],[اسم الأب]])," ",TRIM(الجدول2[[#This Row],[الكنية]]))</f>
        <v>عبداللطيف محمود محمد</v>
      </c>
      <c r="H312" s="10"/>
      <c r="I312" s="11"/>
      <c r="J312" s="10" t="s">
        <v>58</v>
      </c>
      <c r="K312" s="10"/>
      <c r="L312" s="10"/>
      <c r="M312" s="10"/>
      <c r="N312" s="10"/>
      <c r="O312" s="12"/>
      <c r="P312" s="10"/>
      <c r="Q312" s="10"/>
      <c r="R312" s="11"/>
      <c r="S312" s="10"/>
      <c r="T312" s="10"/>
      <c r="U312" s="10"/>
      <c r="V312" s="10" t="s">
        <v>2461</v>
      </c>
      <c r="W312" s="10"/>
      <c r="X312" s="10" t="s">
        <v>127</v>
      </c>
      <c r="Y312" s="10"/>
      <c r="Z312" s="10"/>
      <c r="AA312" s="10" t="s">
        <v>2560</v>
      </c>
      <c r="AB312" s="10"/>
      <c r="AC312" s="10" t="s">
        <v>73</v>
      </c>
      <c r="AD312" s="10" t="s">
        <v>74</v>
      </c>
      <c r="AE312" s="12"/>
      <c r="AF312" s="10"/>
      <c r="AG312" s="10"/>
      <c r="AH312" s="10" t="s">
        <v>2277</v>
      </c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2"/>
      <c r="AZ312" s="23" t="s">
        <v>80</v>
      </c>
      <c r="BA312" s="10" t="s">
        <v>246</v>
      </c>
      <c r="BB312" s="56" t="s">
        <v>2359</v>
      </c>
      <c r="BC312" s="10" t="s">
        <v>2446</v>
      </c>
      <c r="BD312" s="10"/>
      <c r="BE312" s="13"/>
      <c r="BF312" s="52"/>
    </row>
    <row r="313" spans="1:58" ht="23.4" hidden="1" x14ac:dyDescent="0.25">
      <c r="A313" s="9">
        <v>312</v>
      </c>
      <c r="B313" s="10"/>
      <c r="C313" s="10"/>
      <c r="D313" s="10" t="s">
        <v>2393</v>
      </c>
      <c r="E313" s="10"/>
      <c r="F313" s="10" t="s">
        <v>145</v>
      </c>
      <c r="G313" s="23" t="str">
        <f>CONCATENATE(TRIM(الجدول2[[#This Row],[الاسم الأول]])," ",TRIM(الجدول2[[#This Row],[اسم الأب]])," ",TRIM(الجدول2[[#This Row],[الكنية]]))</f>
        <v>قيس  يونس</v>
      </c>
      <c r="H313" s="10"/>
      <c r="I313" s="11"/>
      <c r="J313" s="10" t="s">
        <v>58</v>
      </c>
      <c r="K313" s="10"/>
      <c r="L313" s="10"/>
      <c r="M313" s="10"/>
      <c r="N313" s="10"/>
      <c r="O313" s="12"/>
      <c r="P313" s="10"/>
      <c r="Q313" s="10"/>
      <c r="R313" s="11"/>
      <c r="S313" s="10"/>
      <c r="T313" s="10"/>
      <c r="U313" s="10"/>
      <c r="V313" s="10" t="s">
        <v>2286</v>
      </c>
      <c r="W313" s="10" t="s">
        <v>2287</v>
      </c>
      <c r="X313" s="10" t="s">
        <v>526</v>
      </c>
      <c r="Y313" s="10" t="s">
        <v>424</v>
      </c>
      <c r="Z313" s="10"/>
      <c r="AA313" s="10" t="s">
        <v>2560</v>
      </c>
      <c r="AB313" s="10"/>
      <c r="AC313" s="10" t="s">
        <v>73</v>
      </c>
      <c r="AD313" s="10" t="s">
        <v>74</v>
      </c>
      <c r="AE313" s="12"/>
      <c r="AF313" s="10"/>
      <c r="AG313" s="10"/>
      <c r="AH313" s="10" t="s">
        <v>124</v>
      </c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2"/>
      <c r="AZ313" s="23" t="s">
        <v>80</v>
      </c>
      <c r="BA313" s="10" t="s">
        <v>246</v>
      </c>
      <c r="BB313" s="56" t="s">
        <v>2359</v>
      </c>
      <c r="BC313" s="10" t="s">
        <v>2446</v>
      </c>
      <c r="BD313" s="10"/>
      <c r="BE313" s="13"/>
      <c r="BF313" s="52"/>
    </row>
    <row r="314" spans="1:58" ht="23.4" hidden="1" x14ac:dyDescent="0.25">
      <c r="A314" s="9">
        <v>313</v>
      </c>
      <c r="B314" s="10"/>
      <c r="C314" s="10"/>
      <c r="D314" s="10" t="s">
        <v>333</v>
      </c>
      <c r="E314" s="10" t="s">
        <v>228</v>
      </c>
      <c r="F314" s="10" t="s">
        <v>131</v>
      </c>
      <c r="G314" s="23" t="str">
        <f>CONCATENATE(TRIM(الجدول2[[#This Row],[الاسم الأول]])," ",TRIM(الجدول2[[#This Row],[اسم الأب]])," ",TRIM(الجدول2[[#This Row],[الكنية]]))</f>
        <v>باسم محمود علي</v>
      </c>
      <c r="H314" s="10"/>
      <c r="I314" s="11"/>
      <c r="J314" s="10" t="s">
        <v>58</v>
      </c>
      <c r="K314" s="10"/>
      <c r="L314" s="10"/>
      <c r="M314" s="10"/>
      <c r="N314" s="10"/>
      <c r="O314" s="12"/>
      <c r="P314" s="10"/>
      <c r="Q314" s="10"/>
      <c r="R314" s="11"/>
      <c r="S314" s="10"/>
      <c r="T314" s="10"/>
      <c r="U314" s="10"/>
      <c r="V314" s="10" t="s">
        <v>2286</v>
      </c>
      <c r="W314" s="10" t="s">
        <v>2287</v>
      </c>
      <c r="X314" s="10" t="s">
        <v>526</v>
      </c>
      <c r="Y314" s="10" t="s">
        <v>214</v>
      </c>
      <c r="Z314" s="10"/>
      <c r="AA314" s="10" t="s">
        <v>2560</v>
      </c>
      <c r="AB314" s="10"/>
      <c r="AC314" s="10" t="s">
        <v>73</v>
      </c>
      <c r="AD314" s="10" t="s">
        <v>74</v>
      </c>
      <c r="AE314" s="12"/>
      <c r="AF314" s="10"/>
      <c r="AG314" s="10"/>
      <c r="AH314" s="10" t="s">
        <v>157</v>
      </c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2"/>
      <c r="AZ314" s="23" t="s">
        <v>80</v>
      </c>
      <c r="BA314" s="10" t="s">
        <v>246</v>
      </c>
      <c r="BB314" s="56" t="s">
        <v>2359</v>
      </c>
      <c r="BC314" s="10" t="s">
        <v>2446</v>
      </c>
      <c r="BD314" s="10"/>
      <c r="BE314" s="13"/>
      <c r="BF314" s="52"/>
    </row>
    <row r="315" spans="1:58" ht="23.4" hidden="1" x14ac:dyDescent="0.25">
      <c r="A315" s="9">
        <v>314</v>
      </c>
      <c r="B315" s="10"/>
      <c r="C315" s="10"/>
      <c r="D315" s="10" t="s">
        <v>1621</v>
      </c>
      <c r="E315" s="10"/>
      <c r="F315" s="10" t="s">
        <v>2394</v>
      </c>
      <c r="G315" s="23" t="str">
        <f>CONCATENATE(TRIM(الجدول2[[#This Row],[الاسم الأول]])," ",TRIM(الجدول2[[#This Row],[اسم الأب]])," ",TRIM(الجدول2[[#This Row],[الكنية]]))</f>
        <v>مجد  شاهين</v>
      </c>
      <c r="H315" s="10"/>
      <c r="I315" s="11"/>
      <c r="J315" s="10" t="s">
        <v>58</v>
      </c>
      <c r="K315" s="10"/>
      <c r="L315" s="10"/>
      <c r="M315" s="10"/>
      <c r="N315" s="10"/>
      <c r="O315" s="12"/>
      <c r="P315" s="10"/>
      <c r="Q315" s="10"/>
      <c r="R315" s="11"/>
      <c r="S315" s="10"/>
      <c r="T315" s="10"/>
      <c r="U315" s="10"/>
      <c r="V315" s="10" t="s">
        <v>2286</v>
      </c>
      <c r="W315" s="10" t="s">
        <v>2287</v>
      </c>
      <c r="X315" s="10" t="s">
        <v>526</v>
      </c>
      <c r="Y315" s="10" t="s">
        <v>424</v>
      </c>
      <c r="Z315" s="10"/>
      <c r="AA315" s="10" t="s">
        <v>2560</v>
      </c>
      <c r="AB315" s="10"/>
      <c r="AC315" s="10" t="s">
        <v>73</v>
      </c>
      <c r="AD315" s="10" t="s">
        <v>74</v>
      </c>
      <c r="AE315" s="12"/>
      <c r="AF315" s="10"/>
      <c r="AG315" s="10"/>
      <c r="AH315" s="10" t="s">
        <v>157</v>
      </c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2"/>
      <c r="AZ315" s="23" t="s">
        <v>80</v>
      </c>
      <c r="BA315" s="10" t="s">
        <v>246</v>
      </c>
      <c r="BB315" s="56" t="s">
        <v>2359</v>
      </c>
      <c r="BC315" s="10" t="s">
        <v>2446</v>
      </c>
      <c r="BD315" s="10"/>
      <c r="BE315" s="13"/>
      <c r="BF315" s="52"/>
    </row>
    <row r="316" spans="1:58" ht="23.4" hidden="1" x14ac:dyDescent="0.25">
      <c r="A316" s="9">
        <v>315</v>
      </c>
      <c r="B316" s="10"/>
      <c r="C316" s="10"/>
      <c r="D316" s="10" t="s">
        <v>333</v>
      </c>
      <c r="E316" s="10"/>
      <c r="F316" s="10" t="s">
        <v>411</v>
      </c>
      <c r="G316" s="23" t="str">
        <f>CONCATENATE(TRIM(الجدول2[[#This Row],[الاسم الأول]])," ",TRIM(الجدول2[[#This Row],[اسم الأب]])," ",TRIM(الجدول2[[#This Row],[الكنية]]))</f>
        <v>باسم  سليمان</v>
      </c>
      <c r="H316" s="10"/>
      <c r="I316" s="11"/>
      <c r="J316" s="10" t="s">
        <v>58</v>
      </c>
      <c r="K316" s="10"/>
      <c r="L316" s="10"/>
      <c r="M316" s="10"/>
      <c r="N316" s="10"/>
      <c r="O316" s="12"/>
      <c r="P316" s="10"/>
      <c r="Q316" s="10"/>
      <c r="R316" s="11"/>
      <c r="S316" s="10"/>
      <c r="T316" s="10"/>
      <c r="U316" s="10"/>
      <c r="V316" s="10" t="s">
        <v>2286</v>
      </c>
      <c r="W316" s="10" t="s">
        <v>2287</v>
      </c>
      <c r="X316" s="10" t="s">
        <v>526</v>
      </c>
      <c r="Y316" s="10" t="s">
        <v>2435</v>
      </c>
      <c r="Z316" s="10"/>
      <c r="AA316" s="10" t="s">
        <v>2560</v>
      </c>
      <c r="AB316" s="10"/>
      <c r="AC316" s="10" t="s">
        <v>155</v>
      </c>
      <c r="AD316" s="10" t="s">
        <v>74</v>
      </c>
      <c r="AE316" s="12"/>
      <c r="AF316" s="10"/>
      <c r="AG316" s="10"/>
      <c r="AH316" s="10" t="s">
        <v>157</v>
      </c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2"/>
      <c r="AZ316" s="23" t="s">
        <v>80</v>
      </c>
      <c r="BA316" s="10" t="s">
        <v>246</v>
      </c>
      <c r="BB316" s="56" t="s">
        <v>2359</v>
      </c>
      <c r="BC316" s="10" t="s">
        <v>2446</v>
      </c>
      <c r="BD316" s="10"/>
      <c r="BE316" s="13"/>
      <c r="BF316" s="52"/>
    </row>
    <row r="317" spans="1:58" ht="23.4" hidden="1" x14ac:dyDescent="0.25">
      <c r="A317" s="9">
        <v>316</v>
      </c>
      <c r="B317" s="10"/>
      <c r="C317" s="10"/>
      <c r="D317" s="10" t="s">
        <v>87</v>
      </c>
      <c r="E317" s="10"/>
      <c r="F317" s="10" t="s">
        <v>81</v>
      </c>
      <c r="G317" s="23" t="str">
        <f>CONCATENATE(TRIM(الجدول2[[#This Row],[الاسم الأول]])," ",TRIM(الجدول2[[#This Row],[اسم الأب]])," ",TRIM(الجدول2[[#This Row],[الكنية]]))</f>
        <v>صلاح  سليم</v>
      </c>
      <c r="H317" s="10"/>
      <c r="I317" s="11"/>
      <c r="J317" s="10" t="s">
        <v>58</v>
      </c>
      <c r="K317" s="10"/>
      <c r="L317" s="10"/>
      <c r="M317" s="10"/>
      <c r="N317" s="10"/>
      <c r="O317" s="12"/>
      <c r="P317" s="10"/>
      <c r="Q317" s="10"/>
      <c r="R317" s="11"/>
      <c r="S317" s="10"/>
      <c r="T317" s="10"/>
      <c r="U317" s="10"/>
      <c r="V317" s="10" t="s">
        <v>2286</v>
      </c>
      <c r="W317" s="10" t="s">
        <v>2287</v>
      </c>
      <c r="X317" s="10" t="s">
        <v>526</v>
      </c>
      <c r="Y317" s="10" t="s">
        <v>2435</v>
      </c>
      <c r="Z317" s="10"/>
      <c r="AA317" s="10" t="s">
        <v>2560</v>
      </c>
      <c r="AB317" s="10"/>
      <c r="AC317" s="10" t="s">
        <v>155</v>
      </c>
      <c r="AD317" s="10" t="s">
        <v>74</v>
      </c>
      <c r="AE317" s="12"/>
      <c r="AF317" s="10"/>
      <c r="AG317" s="10"/>
      <c r="AH317" s="10" t="s">
        <v>157</v>
      </c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2"/>
      <c r="AZ317" s="23" t="s">
        <v>80</v>
      </c>
      <c r="BA317" s="10" t="s">
        <v>246</v>
      </c>
      <c r="BB317" s="56" t="s">
        <v>2359</v>
      </c>
      <c r="BC317" s="10" t="s">
        <v>2446</v>
      </c>
      <c r="BD317" s="10"/>
      <c r="BE317" s="13"/>
      <c r="BF317" s="52"/>
    </row>
    <row r="318" spans="1:58" ht="23.4" hidden="1" x14ac:dyDescent="0.25">
      <c r="A318" s="9">
        <v>317</v>
      </c>
      <c r="B318" s="10"/>
      <c r="C318" s="10"/>
      <c r="D318" s="10" t="s">
        <v>597</v>
      </c>
      <c r="E318" s="10"/>
      <c r="F318" s="10" t="s">
        <v>2099</v>
      </c>
      <c r="G318" s="23" t="str">
        <f>CONCATENATE(TRIM(الجدول2[[#This Row],[الاسم الأول]])," ",TRIM(الجدول2[[#This Row],[اسم الأب]])," ",TRIM(الجدول2[[#This Row],[الكنية]]))</f>
        <v>سمير  ناصر</v>
      </c>
      <c r="H318" s="10"/>
      <c r="I318" s="11"/>
      <c r="J318" s="10" t="s">
        <v>58</v>
      </c>
      <c r="K318" s="10"/>
      <c r="L318" s="10"/>
      <c r="M318" s="10"/>
      <c r="N318" s="10"/>
      <c r="O318" s="12"/>
      <c r="P318" s="10"/>
      <c r="Q318" s="10"/>
      <c r="R318" s="11"/>
      <c r="S318" s="10"/>
      <c r="T318" s="10"/>
      <c r="U318" s="10"/>
      <c r="V318" s="10" t="s">
        <v>2286</v>
      </c>
      <c r="W318" s="10" t="s">
        <v>2287</v>
      </c>
      <c r="X318" s="10" t="s">
        <v>526</v>
      </c>
      <c r="Y318" s="10" t="s">
        <v>424</v>
      </c>
      <c r="Z318" s="10"/>
      <c r="AA318" s="10" t="s">
        <v>2560</v>
      </c>
      <c r="AB318" s="10"/>
      <c r="AC318" s="10" t="s">
        <v>73</v>
      </c>
      <c r="AD318" s="10" t="s">
        <v>74</v>
      </c>
      <c r="AE318" s="12"/>
      <c r="AF318" s="10"/>
      <c r="AG318" s="10"/>
      <c r="AH318" s="10" t="s">
        <v>157</v>
      </c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2"/>
      <c r="AZ318" s="23" t="s">
        <v>80</v>
      </c>
      <c r="BA318" s="10" t="s">
        <v>246</v>
      </c>
      <c r="BB318" s="56" t="s">
        <v>2359</v>
      </c>
      <c r="BC318" s="10" t="s">
        <v>2446</v>
      </c>
      <c r="BD318" s="10"/>
      <c r="BE318" s="13"/>
      <c r="BF318" s="52"/>
    </row>
    <row r="319" spans="1:58" ht="23.4" hidden="1" x14ac:dyDescent="0.25">
      <c r="A319" s="9">
        <v>318</v>
      </c>
      <c r="B319" s="10"/>
      <c r="C319" s="10"/>
      <c r="D319" s="10" t="s">
        <v>2197</v>
      </c>
      <c r="E319" s="10"/>
      <c r="F319" s="10" t="s">
        <v>1315</v>
      </c>
      <c r="G319" s="23" t="str">
        <f>CONCATENATE(TRIM(الجدول2[[#This Row],[الاسم الأول]])," ",TRIM(الجدول2[[#This Row],[اسم الأب]])," ",TRIM(الجدول2[[#This Row],[الكنية]]))</f>
        <v>ياسر  مرعي</v>
      </c>
      <c r="H319" s="10"/>
      <c r="I319" s="11"/>
      <c r="J319" s="10" t="s">
        <v>58</v>
      </c>
      <c r="K319" s="10"/>
      <c r="L319" s="10"/>
      <c r="M319" s="10"/>
      <c r="N319" s="10"/>
      <c r="O319" s="12"/>
      <c r="P319" s="10"/>
      <c r="Q319" s="10"/>
      <c r="R319" s="11"/>
      <c r="S319" s="10"/>
      <c r="T319" s="10"/>
      <c r="U319" s="10"/>
      <c r="V319" s="10" t="s">
        <v>2286</v>
      </c>
      <c r="W319" s="10" t="s">
        <v>2287</v>
      </c>
      <c r="X319" s="10" t="s">
        <v>526</v>
      </c>
      <c r="Y319" s="10" t="s">
        <v>424</v>
      </c>
      <c r="Z319" s="10"/>
      <c r="AA319" s="10" t="s">
        <v>2560</v>
      </c>
      <c r="AB319" s="10"/>
      <c r="AC319" s="10" t="s">
        <v>73</v>
      </c>
      <c r="AD319" s="10" t="s">
        <v>74</v>
      </c>
      <c r="AE319" s="12"/>
      <c r="AF319" s="10"/>
      <c r="AG319" s="10"/>
      <c r="AH319" s="10" t="s">
        <v>157</v>
      </c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2"/>
      <c r="AZ319" s="23" t="s">
        <v>80</v>
      </c>
      <c r="BA319" s="10" t="s">
        <v>246</v>
      </c>
      <c r="BB319" s="56" t="s">
        <v>2359</v>
      </c>
      <c r="BC319" s="10" t="s">
        <v>2446</v>
      </c>
      <c r="BD319" s="10"/>
      <c r="BE319" s="13"/>
      <c r="BF319" s="52"/>
    </row>
    <row r="320" spans="1:58" ht="23.4" hidden="1" x14ac:dyDescent="0.25">
      <c r="A320" s="9">
        <v>319</v>
      </c>
      <c r="B320" s="10"/>
      <c r="C320" s="10"/>
      <c r="D320" s="10" t="s">
        <v>2395</v>
      </c>
      <c r="E320" s="10"/>
      <c r="F320" s="10" t="s">
        <v>2178</v>
      </c>
      <c r="G320" s="23" t="str">
        <f>CONCATENATE(TRIM(الجدول2[[#This Row],[الاسم الأول]])," ",TRIM(الجدول2[[#This Row],[اسم الأب]])," ",TRIM(الجدول2[[#This Row],[الكنية]]))</f>
        <v>عامر  سلوم</v>
      </c>
      <c r="H320" s="10"/>
      <c r="I320" s="11"/>
      <c r="J320" s="10" t="s">
        <v>58</v>
      </c>
      <c r="K320" s="10"/>
      <c r="L320" s="10"/>
      <c r="M320" s="10"/>
      <c r="N320" s="10"/>
      <c r="O320" s="12"/>
      <c r="P320" s="10"/>
      <c r="Q320" s="10"/>
      <c r="R320" s="11"/>
      <c r="S320" s="10"/>
      <c r="T320" s="10"/>
      <c r="U320" s="10"/>
      <c r="V320" s="10" t="s">
        <v>2286</v>
      </c>
      <c r="W320" s="10" t="s">
        <v>2287</v>
      </c>
      <c r="X320" s="10" t="s">
        <v>526</v>
      </c>
      <c r="Y320" s="10" t="s">
        <v>2435</v>
      </c>
      <c r="Z320" s="10"/>
      <c r="AA320" s="10" t="s">
        <v>2560</v>
      </c>
      <c r="AB320" s="10"/>
      <c r="AC320" s="10" t="s">
        <v>155</v>
      </c>
      <c r="AD320" s="10" t="s">
        <v>74</v>
      </c>
      <c r="AE320" s="12"/>
      <c r="AF320" s="10"/>
      <c r="AG320" s="10"/>
      <c r="AH320" s="10" t="s">
        <v>140</v>
      </c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2"/>
      <c r="AZ320" s="23" t="s">
        <v>80</v>
      </c>
      <c r="BA320" s="10" t="s">
        <v>246</v>
      </c>
      <c r="BB320" s="56" t="s">
        <v>2359</v>
      </c>
      <c r="BC320" s="10" t="s">
        <v>2446</v>
      </c>
      <c r="BD320" s="10"/>
      <c r="BE320" s="13"/>
      <c r="BF320" s="52"/>
    </row>
    <row r="321" spans="1:58" ht="23.4" hidden="1" x14ac:dyDescent="0.25">
      <c r="A321" s="9">
        <v>320</v>
      </c>
      <c r="B321" s="10"/>
      <c r="C321" s="10"/>
      <c r="D321" s="10" t="s">
        <v>1324</v>
      </c>
      <c r="E321" s="10"/>
      <c r="F321" s="10" t="s">
        <v>53</v>
      </c>
      <c r="G321" s="23" t="str">
        <f>CONCATENATE(TRIM(الجدول2[[#This Row],[الاسم الأول]])," ",TRIM(الجدول2[[#This Row],[اسم الأب]])," ",TRIM(الجدول2[[#This Row],[الكنية]]))</f>
        <v>محسن  ابراهيم</v>
      </c>
      <c r="H321" s="10"/>
      <c r="I321" s="11"/>
      <c r="J321" s="10" t="s">
        <v>58</v>
      </c>
      <c r="K321" s="10"/>
      <c r="L321" s="10"/>
      <c r="M321" s="10"/>
      <c r="N321" s="10"/>
      <c r="O321" s="12"/>
      <c r="P321" s="10"/>
      <c r="Q321" s="10"/>
      <c r="R321" s="11"/>
      <c r="S321" s="10"/>
      <c r="T321" s="10"/>
      <c r="U321" s="10"/>
      <c r="V321" s="10" t="s">
        <v>2286</v>
      </c>
      <c r="W321" s="10" t="s">
        <v>2287</v>
      </c>
      <c r="X321" s="10" t="s">
        <v>526</v>
      </c>
      <c r="Y321" s="10" t="s">
        <v>2436</v>
      </c>
      <c r="Z321" s="10"/>
      <c r="AA321" s="10" t="s">
        <v>2560</v>
      </c>
      <c r="AB321" s="10"/>
      <c r="AC321" s="10" t="s">
        <v>155</v>
      </c>
      <c r="AD321" s="10" t="s">
        <v>74</v>
      </c>
      <c r="AE321" s="12"/>
      <c r="AF321" s="10"/>
      <c r="AG321" s="10"/>
      <c r="AH321" s="10" t="s">
        <v>140</v>
      </c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2"/>
      <c r="AZ321" s="23" t="s">
        <v>80</v>
      </c>
      <c r="BA321" s="10" t="s">
        <v>246</v>
      </c>
      <c r="BB321" s="56" t="s">
        <v>2359</v>
      </c>
      <c r="BC321" s="10" t="s">
        <v>2446</v>
      </c>
      <c r="BD321" s="10"/>
      <c r="BE321" s="13"/>
      <c r="BF321" s="52"/>
    </row>
    <row r="322" spans="1:58" ht="23.4" hidden="1" x14ac:dyDescent="0.25">
      <c r="A322" s="9">
        <v>321</v>
      </c>
      <c r="B322" s="10"/>
      <c r="C322" s="10"/>
      <c r="D322" s="10" t="s">
        <v>474</v>
      </c>
      <c r="E322" s="10"/>
      <c r="F322" s="10" t="s">
        <v>81</v>
      </c>
      <c r="G322" s="23" t="str">
        <f>CONCATENATE(TRIM(الجدول2[[#This Row],[الاسم الأول]])," ",TRIM(الجدول2[[#This Row],[اسم الأب]])," ",TRIM(الجدول2[[#This Row],[الكنية]]))</f>
        <v>حسام  سليم</v>
      </c>
      <c r="H322" s="10"/>
      <c r="I322" s="11"/>
      <c r="J322" s="10" t="s">
        <v>58</v>
      </c>
      <c r="K322" s="10"/>
      <c r="L322" s="10"/>
      <c r="M322" s="10"/>
      <c r="N322" s="10"/>
      <c r="O322" s="12"/>
      <c r="P322" s="10"/>
      <c r="Q322" s="10"/>
      <c r="R322" s="11"/>
      <c r="S322" s="10"/>
      <c r="T322" s="10"/>
      <c r="U322" s="10"/>
      <c r="V322" s="10" t="s">
        <v>2286</v>
      </c>
      <c r="W322" s="10" t="s">
        <v>2287</v>
      </c>
      <c r="X322" s="10" t="s">
        <v>526</v>
      </c>
      <c r="Y322" s="10" t="s">
        <v>214</v>
      </c>
      <c r="Z322" s="10"/>
      <c r="AA322" s="10" t="s">
        <v>2560</v>
      </c>
      <c r="AB322" s="10"/>
      <c r="AC322" s="10" t="s">
        <v>73</v>
      </c>
      <c r="AD322" s="10" t="s">
        <v>74</v>
      </c>
      <c r="AE322" s="12"/>
      <c r="AF322" s="10"/>
      <c r="AG322" s="10"/>
      <c r="AH322" s="10" t="s">
        <v>140</v>
      </c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2"/>
      <c r="AZ322" s="23" t="s">
        <v>80</v>
      </c>
      <c r="BA322" s="10" t="s">
        <v>246</v>
      </c>
      <c r="BB322" s="56" t="s">
        <v>2359</v>
      </c>
      <c r="BC322" s="10" t="s">
        <v>2446</v>
      </c>
      <c r="BD322" s="10"/>
      <c r="BE322" s="13"/>
      <c r="BF322" s="52"/>
    </row>
    <row r="323" spans="1:58" ht="23.4" hidden="1" x14ac:dyDescent="0.25">
      <c r="A323" s="9">
        <v>322</v>
      </c>
      <c r="B323" s="10"/>
      <c r="C323" s="10"/>
      <c r="D323" s="10" t="s">
        <v>53</v>
      </c>
      <c r="E323" s="10" t="s">
        <v>1118</v>
      </c>
      <c r="F323" s="10" t="s">
        <v>53</v>
      </c>
      <c r="G323" s="23" t="str">
        <f>CONCATENATE(TRIM(الجدول2[[#This Row],[الاسم الأول]])," ",TRIM(الجدول2[[#This Row],[اسم الأب]])," ",TRIM(الجدول2[[#This Row],[الكنية]]))</f>
        <v>ابراهيم يحيى ابراهيم</v>
      </c>
      <c r="H323" s="10"/>
      <c r="I323" s="11"/>
      <c r="J323" s="10" t="s">
        <v>58</v>
      </c>
      <c r="K323" s="10"/>
      <c r="L323" s="10"/>
      <c r="M323" s="10"/>
      <c r="N323" s="10"/>
      <c r="O323" s="12"/>
      <c r="P323" s="10"/>
      <c r="Q323" s="10"/>
      <c r="R323" s="11"/>
      <c r="S323" s="10"/>
      <c r="T323" s="10"/>
      <c r="U323" s="10"/>
      <c r="V323" s="10" t="s">
        <v>2286</v>
      </c>
      <c r="W323" s="10" t="s">
        <v>2287</v>
      </c>
      <c r="X323" s="10" t="s">
        <v>526</v>
      </c>
      <c r="Y323" s="10" t="s">
        <v>2437</v>
      </c>
      <c r="Z323" s="10"/>
      <c r="AA323" s="10" t="s">
        <v>2560</v>
      </c>
      <c r="AB323" s="10"/>
      <c r="AC323" s="10" t="s">
        <v>155</v>
      </c>
      <c r="AD323" s="10" t="s">
        <v>74</v>
      </c>
      <c r="AE323" s="12"/>
      <c r="AF323" s="10"/>
      <c r="AG323" s="10"/>
      <c r="AH323" s="10" t="s">
        <v>140</v>
      </c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2"/>
      <c r="AZ323" s="23" t="s">
        <v>80</v>
      </c>
      <c r="BA323" s="10" t="s">
        <v>246</v>
      </c>
      <c r="BB323" s="56" t="s">
        <v>2359</v>
      </c>
      <c r="BC323" s="10" t="s">
        <v>2446</v>
      </c>
      <c r="BD323" s="10"/>
      <c r="BE323" s="13"/>
      <c r="BF323" s="52"/>
    </row>
    <row r="324" spans="1:58" ht="23.4" hidden="1" x14ac:dyDescent="0.25">
      <c r="A324" s="9">
        <v>323</v>
      </c>
      <c r="B324" s="10"/>
      <c r="C324" s="10"/>
      <c r="D324" s="10" t="s">
        <v>1429</v>
      </c>
      <c r="E324" s="10" t="s">
        <v>86</v>
      </c>
      <c r="F324" s="10" t="s">
        <v>53</v>
      </c>
      <c r="G324" s="23" t="str">
        <f>CONCATENATE(TRIM(الجدول2[[#This Row],[الاسم الأول]])," ",TRIM(الجدول2[[#This Row],[اسم الأب]])," ",TRIM(الجدول2[[#This Row],[الكنية]]))</f>
        <v>فراس احمد ابراهيم</v>
      </c>
      <c r="H324" s="10"/>
      <c r="I324" s="11"/>
      <c r="J324" s="10" t="s">
        <v>58</v>
      </c>
      <c r="K324" s="10"/>
      <c r="L324" s="10"/>
      <c r="M324" s="10"/>
      <c r="N324" s="10"/>
      <c r="O324" s="12"/>
      <c r="P324" s="10"/>
      <c r="Q324" s="10"/>
      <c r="R324" s="11"/>
      <c r="S324" s="10"/>
      <c r="T324" s="10"/>
      <c r="U324" s="10"/>
      <c r="V324" s="10" t="s">
        <v>2286</v>
      </c>
      <c r="W324" s="10" t="s">
        <v>2287</v>
      </c>
      <c r="X324" s="10" t="s">
        <v>526</v>
      </c>
      <c r="Y324" s="10" t="s">
        <v>214</v>
      </c>
      <c r="Z324" s="10"/>
      <c r="AA324" s="10" t="s">
        <v>2560</v>
      </c>
      <c r="AB324" s="10"/>
      <c r="AC324" s="10" t="s">
        <v>73</v>
      </c>
      <c r="AD324" s="10" t="s">
        <v>74</v>
      </c>
      <c r="AE324" s="12"/>
      <c r="AF324" s="10"/>
      <c r="AG324" s="10"/>
      <c r="AH324" s="10" t="s">
        <v>2277</v>
      </c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2"/>
      <c r="AZ324" s="23" t="s">
        <v>80</v>
      </c>
      <c r="BA324" s="10" t="s">
        <v>2449</v>
      </c>
      <c r="BB324" s="56" t="s">
        <v>2359</v>
      </c>
      <c r="BC324" s="10" t="s">
        <v>2446</v>
      </c>
      <c r="BD324" s="10"/>
      <c r="BE324" s="13"/>
      <c r="BF324" s="52"/>
    </row>
    <row r="325" spans="1:58" ht="23.4" hidden="1" x14ac:dyDescent="0.25">
      <c r="A325" s="9">
        <v>324</v>
      </c>
      <c r="B325" s="10"/>
      <c r="C325" s="10"/>
      <c r="D325" s="10" t="s">
        <v>2397</v>
      </c>
      <c r="E325" s="10" t="s">
        <v>2396</v>
      </c>
      <c r="F325" s="10" t="s">
        <v>2396</v>
      </c>
      <c r="G325" s="23" t="str">
        <f>CONCATENATE(TRIM(الجدول2[[#This Row],[الاسم الأول]])," ",TRIM(الجدول2[[#This Row],[اسم الأب]])," ",TRIM(الجدول2[[#This Row],[الكنية]]))</f>
        <v>أمية رفول رفول</v>
      </c>
      <c r="H325" s="10"/>
      <c r="I325" s="11"/>
      <c r="J325" s="10" t="s">
        <v>58</v>
      </c>
      <c r="K325" s="10"/>
      <c r="L325" s="10"/>
      <c r="M325" s="10"/>
      <c r="N325" s="10"/>
      <c r="O325" s="12"/>
      <c r="P325" s="10"/>
      <c r="Q325" s="10"/>
      <c r="R325" s="11"/>
      <c r="S325" s="10"/>
      <c r="T325" s="10"/>
      <c r="U325" s="10"/>
      <c r="V325" s="10" t="s">
        <v>2286</v>
      </c>
      <c r="W325" s="10" t="s">
        <v>2287</v>
      </c>
      <c r="X325" s="10" t="s">
        <v>526</v>
      </c>
      <c r="Y325" s="10" t="s">
        <v>214</v>
      </c>
      <c r="Z325" s="10"/>
      <c r="AA325" s="10" t="s">
        <v>2560</v>
      </c>
      <c r="AB325" s="10"/>
      <c r="AC325" s="10" t="s">
        <v>73</v>
      </c>
      <c r="AD325" s="10" t="s">
        <v>74</v>
      </c>
      <c r="AE325" s="12"/>
      <c r="AF325" s="10"/>
      <c r="AG325" s="10"/>
      <c r="AH325" s="10" t="s">
        <v>2277</v>
      </c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2"/>
      <c r="AZ325" s="23" t="s">
        <v>80</v>
      </c>
      <c r="BA325" s="10" t="s">
        <v>2449</v>
      </c>
      <c r="BB325" s="56" t="s">
        <v>2359</v>
      </c>
      <c r="BC325" s="10" t="s">
        <v>2446</v>
      </c>
      <c r="BD325" s="10"/>
      <c r="BE325" s="13"/>
      <c r="BF325" s="52"/>
    </row>
    <row r="326" spans="1:58" ht="23.4" hidden="1" x14ac:dyDescent="0.25">
      <c r="A326" s="9">
        <v>325</v>
      </c>
      <c r="B326" s="10"/>
      <c r="C326" s="10"/>
      <c r="D326" s="10" t="s">
        <v>2072</v>
      </c>
      <c r="E326" s="10"/>
      <c r="F326" s="10" t="s">
        <v>411</v>
      </c>
      <c r="G326" s="23" t="str">
        <f>CONCATENATE(TRIM(الجدول2[[#This Row],[الاسم الأول]])," ",TRIM(الجدول2[[#This Row],[اسم الأب]])," ",TRIM(الجدول2[[#This Row],[الكنية]]))</f>
        <v>هدى  سليمان</v>
      </c>
      <c r="H326" s="10"/>
      <c r="I326" s="11"/>
      <c r="J326" s="10" t="s">
        <v>58</v>
      </c>
      <c r="K326" s="10"/>
      <c r="L326" s="10"/>
      <c r="M326" s="10"/>
      <c r="N326" s="10"/>
      <c r="O326" s="12"/>
      <c r="P326" s="10"/>
      <c r="Q326" s="10"/>
      <c r="R326" s="11"/>
      <c r="S326" s="10"/>
      <c r="T326" s="10"/>
      <c r="U326" s="10"/>
      <c r="V326" s="10" t="s">
        <v>2286</v>
      </c>
      <c r="W326" s="10" t="s">
        <v>2287</v>
      </c>
      <c r="X326" s="10" t="s">
        <v>526</v>
      </c>
      <c r="Y326" s="10" t="s">
        <v>424</v>
      </c>
      <c r="Z326" s="10"/>
      <c r="AA326" s="10" t="s">
        <v>2560</v>
      </c>
      <c r="AB326" s="10"/>
      <c r="AC326" s="10" t="s">
        <v>73</v>
      </c>
      <c r="AD326" s="10" t="s">
        <v>74</v>
      </c>
      <c r="AE326" s="12"/>
      <c r="AF326" s="10"/>
      <c r="AG326" s="10"/>
      <c r="AH326" s="10" t="s">
        <v>124</v>
      </c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2"/>
      <c r="AZ326" s="23" t="s">
        <v>80</v>
      </c>
      <c r="BA326" s="10" t="s">
        <v>2449</v>
      </c>
      <c r="BB326" s="56" t="s">
        <v>2359</v>
      </c>
      <c r="BC326" s="10" t="s">
        <v>2446</v>
      </c>
      <c r="BD326" s="10"/>
      <c r="BE326" s="13"/>
      <c r="BF326" s="52"/>
    </row>
    <row r="327" spans="1:58" ht="23.4" hidden="1" x14ac:dyDescent="0.25">
      <c r="A327" s="9">
        <v>326</v>
      </c>
      <c r="B327" s="10"/>
      <c r="C327" s="10"/>
      <c r="D327" s="10" t="s">
        <v>333</v>
      </c>
      <c r="E327" s="10" t="s">
        <v>55</v>
      </c>
      <c r="F327" s="10" t="s">
        <v>131</v>
      </c>
      <c r="G327" s="23" t="str">
        <f>CONCATENATE(TRIM(الجدول2[[#This Row],[الاسم الأول]])," ",TRIM(الجدول2[[#This Row],[اسم الأب]])," ",TRIM(الجدول2[[#This Row],[الكنية]]))</f>
        <v>باسم حسن علي</v>
      </c>
      <c r="H327" s="10"/>
      <c r="I327" s="11"/>
      <c r="J327" s="10" t="s">
        <v>58</v>
      </c>
      <c r="K327" s="10"/>
      <c r="L327" s="10"/>
      <c r="M327" s="10"/>
      <c r="N327" s="10"/>
      <c r="O327" s="12"/>
      <c r="P327" s="10"/>
      <c r="Q327" s="10"/>
      <c r="R327" s="11"/>
      <c r="S327" s="10"/>
      <c r="T327" s="10"/>
      <c r="U327" s="10"/>
      <c r="V327" s="10" t="s">
        <v>2286</v>
      </c>
      <c r="W327" s="10" t="s">
        <v>2287</v>
      </c>
      <c r="X327" s="10" t="s">
        <v>526</v>
      </c>
      <c r="Y327" s="10" t="s">
        <v>424</v>
      </c>
      <c r="Z327" s="10"/>
      <c r="AA327" s="10" t="s">
        <v>2560</v>
      </c>
      <c r="AB327" s="10"/>
      <c r="AC327" s="10" t="s">
        <v>73</v>
      </c>
      <c r="AD327" s="10" t="s">
        <v>74</v>
      </c>
      <c r="AE327" s="12"/>
      <c r="AF327" s="10"/>
      <c r="AG327" s="10"/>
      <c r="AH327" s="10" t="s">
        <v>124</v>
      </c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2"/>
      <c r="AZ327" s="23" t="s">
        <v>80</v>
      </c>
      <c r="BA327" s="10" t="s">
        <v>2449</v>
      </c>
      <c r="BB327" s="56" t="s">
        <v>2359</v>
      </c>
      <c r="BC327" s="10" t="s">
        <v>2446</v>
      </c>
      <c r="BD327" s="10"/>
      <c r="BE327" s="13"/>
      <c r="BF327" s="52"/>
    </row>
    <row r="328" spans="1:58" ht="23.4" hidden="1" x14ac:dyDescent="0.25">
      <c r="A328" s="9">
        <v>327</v>
      </c>
      <c r="B328" s="10"/>
      <c r="C328" s="10"/>
      <c r="D328" s="10" t="s">
        <v>2398</v>
      </c>
      <c r="E328" s="10"/>
      <c r="F328" s="10" t="s">
        <v>1088</v>
      </c>
      <c r="G328" s="23" t="str">
        <f>CONCATENATE(TRIM(الجدول2[[#This Row],[الاسم الأول]])," ",TRIM(الجدول2[[#This Row],[اسم الأب]])," ",TRIM(الجدول2[[#This Row],[الكنية]]))</f>
        <v>نوال  غانم</v>
      </c>
      <c r="H328" s="10"/>
      <c r="I328" s="11"/>
      <c r="J328" s="10" t="s">
        <v>58</v>
      </c>
      <c r="K328" s="10"/>
      <c r="L328" s="10"/>
      <c r="M328" s="10"/>
      <c r="N328" s="10"/>
      <c r="O328" s="12"/>
      <c r="P328" s="10"/>
      <c r="Q328" s="10"/>
      <c r="R328" s="11"/>
      <c r="S328" s="10"/>
      <c r="T328" s="10"/>
      <c r="U328" s="10"/>
      <c r="V328" s="10" t="s">
        <v>2286</v>
      </c>
      <c r="W328" s="10" t="s">
        <v>2287</v>
      </c>
      <c r="X328" s="10" t="s">
        <v>526</v>
      </c>
      <c r="Y328" s="10" t="s">
        <v>214</v>
      </c>
      <c r="Z328" s="10"/>
      <c r="AA328" s="10" t="s">
        <v>2560</v>
      </c>
      <c r="AB328" s="10"/>
      <c r="AC328" s="10" t="s">
        <v>73</v>
      </c>
      <c r="AD328" s="10" t="s">
        <v>74</v>
      </c>
      <c r="AE328" s="12"/>
      <c r="AF328" s="10"/>
      <c r="AG328" s="10"/>
      <c r="AH328" s="10" t="s">
        <v>157</v>
      </c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2"/>
      <c r="AZ328" s="23" t="s">
        <v>80</v>
      </c>
      <c r="BA328" s="10" t="s">
        <v>2449</v>
      </c>
      <c r="BB328" s="56" t="s">
        <v>2359</v>
      </c>
      <c r="BC328" s="10" t="s">
        <v>2446</v>
      </c>
      <c r="BD328" s="10"/>
      <c r="BE328" s="13"/>
      <c r="BF328" s="52"/>
    </row>
    <row r="329" spans="1:58" ht="23.4" hidden="1" x14ac:dyDescent="0.25">
      <c r="A329" s="9">
        <v>328</v>
      </c>
      <c r="B329" s="10"/>
      <c r="C329" s="10"/>
      <c r="D329" s="10" t="s">
        <v>2400</v>
      </c>
      <c r="E329" s="10"/>
      <c r="F329" s="10" t="s">
        <v>115</v>
      </c>
      <c r="G329" s="23" t="str">
        <f>CONCATENATE(TRIM(الجدول2[[#This Row],[الاسم الأول]])," ",TRIM(الجدول2[[#This Row],[اسم الأب]])," ",TRIM(الجدول2[[#This Row],[الكنية]]))</f>
        <v>رحاب  محمد</v>
      </c>
      <c r="H329" s="10"/>
      <c r="I329" s="11"/>
      <c r="J329" s="10" t="s">
        <v>58</v>
      </c>
      <c r="K329" s="10"/>
      <c r="L329" s="10"/>
      <c r="M329" s="10"/>
      <c r="N329" s="10"/>
      <c r="O329" s="12"/>
      <c r="P329" s="10"/>
      <c r="Q329" s="10"/>
      <c r="R329" s="11"/>
      <c r="S329" s="10"/>
      <c r="T329" s="10"/>
      <c r="U329" s="10"/>
      <c r="V329" s="10" t="s">
        <v>2286</v>
      </c>
      <c r="W329" s="10" t="s">
        <v>2287</v>
      </c>
      <c r="X329" s="10" t="s">
        <v>526</v>
      </c>
      <c r="Y329" s="10" t="s">
        <v>2438</v>
      </c>
      <c r="Z329" s="10"/>
      <c r="AA329" s="10" t="s">
        <v>2560</v>
      </c>
      <c r="AB329" s="10"/>
      <c r="AC329" s="10" t="s">
        <v>73</v>
      </c>
      <c r="AD329" s="10" t="s">
        <v>74</v>
      </c>
      <c r="AE329" s="12"/>
      <c r="AF329" s="10"/>
      <c r="AG329" s="10"/>
      <c r="AH329" s="10" t="s">
        <v>124</v>
      </c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2"/>
      <c r="AZ329" s="23" t="s">
        <v>80</v>
      </c>
      <c r="BA329" s="10" t="s">
        <v>1382</v>
      </c>
      <c r="BB329" s="56" t="s">
        <v>2359</v>
      </c>
      <c r="BC329" s="10" t="s">
        <v>2446</v>
      </c>
      <c r="BD329" s="10"/>
      <c r="BE329" s="13"/>
      <c r="BF329" s="52"/>
    </row>
    <row r="330" spans="1:58" ht="23.4" hidden="1" x14ac:dyDescent="0.25">
      <c r="A330" s="9">
        <v>329</v>
      </c>
      <c r="B330" s="10"/>
      <c r="C330" s="10"/>
      <c r="D330" s="10" t="s">
        <v>559</v>
      </c>
      <c r="E330" s="10" t="s">
        <v>411</v>
      </c>
      <c r="F330" s="10" t="s">
        <v>2399</v>
      </c>
      <c r="G330" s="23" t="str">
        <f>CONCATENATE(TRIM(الجدول2[[#This Row],[الاسم الأول]])," ",TRIM(الجدول2[[#This Row],[اسم الأب]])," ",TRIM(الجدول2[[#This Row],[الكنية]]))</f>
        <v>عدنان سليمان نجار</v>
      </c>
      <c r="H330" s="10"/>
      <c r="I330" s="11"/>
      <c r="J330" s="10" t="s">
        <v>58</v>
      </c>
      <c r="K330" s="10"/>
      <c r="L330" s="10"/>
      <c r="M330" s="10"/>
      <c r="N330" s="10"/>
      <c r="O330" s="12"/>
      <c r="P330" s="10"/>
      <c r="Q330" s="10"/>
      <c r="R330" s="11"/>
      <c r="S330" s="10"/>
      <c r="T330" s="10"/>
      <c r="U330" s="10"/>
      <c r="V330" s="10" t="s">
        <v>2286</v>
      </c>
      <c r="W330" s="10" t="s">
        <v>2287</v>
      </c>
      <c r="X330" s="10" t="s">
        <v>526</v>
      </c>
      <c r="Y330" s="10" t="s">
        <v>424</v>
      </c>
      <c r="Z330" s="10"/>
      <c r="AA330" s="10" t="s">
        <v>2560</v>
      </c>
      <c r="AB330" s="10"/>
      <c r="AC330" s="10" t="s">
        <v>73</v>
      </c>
      <c r="AD330" s="10" t="s">
        <v>74</v>
      </c>
      <c r="AE330" s="12"/>
      <c r="AF330" s="10"/>
      <c r="AG330" s="10"/>
      <c r="AH330" s="10" t="s">
        <v>2277</v>
      </c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2"/>
      <c r="AZ330" s="23" t="s">
        <v>80</v>
      </c>
      <c r="BA330" s="10" t="s">
        <v>797</v>
      </c>
      <c r="BB330" s="56" t="s">
        <v>2359</v>
      </c>
      <c r="BC330" s="10" t="s">
        <v>2446</v>
      </c>
      <c r="BD330" s="10"/>
      <c r="BE330" s="13"/>
      <c r="BF330" s="52"/>
    </row>
    <row r="331" spans="1:58" ht="23.4" hidden="1" x14ac:dyDescent="0.25">
      <c r="A331" s="9">
        <v>330</v>
      </c>
      <c r="B331" s="10"/>
      <c r="C331" s="10"/>
      <c r="D331" s="10" t="s">
        <v>495</v>
      </c>
      <c r="E331" s="10"/>
      <c r="F331" s="10" t="s">
        <v>1088</v>
      </c>
      <c r="G331" s="23" t="str">
        <f>CONCATENATE(TRIM(الجدول2[[#This Row],[الاسم الأول]])," ",TRIM(الجدول2[[#This Row],[اسم الأب]])," ",TRIM(الجدول2[[#This Row],[الكنية]]))</f>
        <v>حسان  غانم</v>
      </c>
      <c r="H331" s="10"/>
      <c r="I331" s="11"/>
      <c r="J331" s="10" t="s">
        <v>58</v>
      </c>
      <c r="K331" s="10"/>
      <c r="L331" s="10"/>
      <c r="M331" s="10"/>
      <c r="N331" s="10"/>
      <c r="O331" s="12"/>
      <c r="P331" s="10"/>
      <c r="Q331" s="10"/>
      <c r="R331" s="11"/>
      <c r="S331" s="10"/>
      <c r="T331" s="10"/>
      <c r="U331" s="10"/>
      <c r="V331" s="10" t="s">
        <v>2286</v>
      </c>
      <c r="W331" s="10" t="s">
        <v>2287</v>
      </c>
      <c r="X331" s="10" t="s">
        <v>526</v>
      </c>
      <c r="Y331" s="10" t="s">
        <v>424</v>
      </c>
      <c r="Z331" s="10"/>
      <c r="AA331" s="10" t="s">
        <v>2560</v>
      </c>
      <c r="AB331" s="10"/>
      <c r="AC331" s="10" t="s">
        <v>73</v>
      </c>
      <c r="AD331" s="10" t="s">
        <v>74</v>
      </c>
      <c r="AE331" s="12"/>
      <c r="AF331" s="10"/>
      <c r="AG331" s="10"/>
      <c r="AH331" s="10" t="s">
        <v>2277</v>
      </c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2"/>
      <c r="AZ331" s="23" t="s">
        <v>80</v>
      </c>
      <c r="BA331" s="10" t="s">
        <v>797</v>
      </c>
      <c r="BB331" s="56" t="s">
        <v>2359</v>
      </c>
      <c r="BC331" s="10" t="s">
        <v>2446</v>
      </c>
      <c r="BD331" s="10"/>
      <c r="BE331" s="13"/>
      <c r="BF331" s="52"/>
    </row>
    <row r="332" spans="1:58" ht="23.4" hidden="1" x14ac:dyDescent="0.25">
      <c r="A332" s="9">
        <v>331</v>
      </c>
      <c r="B332" s="10"/>
      <c r="C332" s="10"/>
      <c r="D332" s="10" t="s">
        <v>2401</v>
      </c>
      <c r="E332" s="10"/>
      <c r="F332" s="10" t="s">
        <v>86</v>
      </c>
      <c r="G332" s="23" t="str">
        <f>CONCATENATE(TRIM(الجدول2[[#This Row],[الاسم الأول]])," ",TRIM(الجدول2[[#This Row],[اسم الأب]])," ",TRIM(الجدول2[[#This Row],[الكنية]]))</f>
        <v>ثناء  احمد</v>
      </c>
      <c r="H332" s="10"/>
      <c r="I332" s="11"/>
      <c r="J332" s="10" t="s">
        <v>58</v>
      </c>
      <c r="K332" s="10"/>
      <c r="L332" s="10"/>
      <c r="M332" s="10"/>
      <c r="N332" s="10"/>
      <c r="O332" s="12"/>
      <c r="P332" s="10"/>
      <c r="Q332" s="10"/>
      <c r="R332" s="11"/>
      <c r="S332" s="10"/>
      <c r="T332" s="10"/>
      <c r="U332" s="10"/>
      <c r="V332" s="10" t="s">
        <v>2286</v>
      </c>
      <c r="W332" s="10" t="s">
        <v>2287</v>
      </c>
      <c r="X332" s="10" t="s">
        <v>526</v>
      </c>
      <c r="Y332" s="10" t="s">
        <v>2433</v>
      </c>
      <c r="Z332" s="10"/>
      <c r="AA332" s="10" t="s">
        <v>2560</v>
      </c>
      <c r="AB332" s="10"/>
      <c r="AC332" s="10" t="s">
        <v>73</v>
      </c>
      <c r="AD332" s="10" t="s">
        <v>74</v>
      </c>
      <c r="AE332" s="12"/>
      <c r="AF332" s="10"/>
      <c r="AG332" s="10"/>
      <c r="AH332" s="10" t="s">
        <v>2277</v>
      </c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2"/>
      <c r="AZ332" s="23" t="s">
        <v>80</v>
      </c>
      <c r="BA332" s="10" t="s">
        <v>797</v>
      </c>
      <c r="BB332" s="56" t="s">
        <v>2359</v>
      </c>
      <c r="BC332" s="10" t="s">
        <v>2446</v>
      </c>
      <c r="BD332" s="10"/>
      <c r="BE332" s="13"/>
      <c r="BF332" s="52"/>
    </row>
    <row r="333" spans="1:58" ht="23.4" hidden="1" x14ac:dyDescent="0.25">
      <c r="A333" s="9">
        <v>332</v>
      </c>
      <c r="B333" s="10"/>
      <c r="C333" s="10"/>
      <c r="D333" s="10" t="s">
        <v>1017</v>
      </c>
      <c r="E333" s="10"/>
      <c r="F333" s="10" t="s">
        <v>930</v>
      </c>
      <c r="G333" s="23" t="str">
        <f>CONCATENATE(TRIM(الجدول2[[#This Row],[الاسم الأول]])," ",TRIM(الجدول2[[#This Row],[اسم الأب]])," ",TRIM(الجدول2[[#This Row],[الكنية]]))</f>
        <v>سراب  مصطفى</v>
      </c>
      <c r="H333" s="10"/>
      <c r="I333" s="11"/>
      <c r="J333" s="10" t="s">
        <v>58</v>
      </c>
      <c r="K333" s="10"/>
      <c r="L333" s="10"/>
      <c r="M333" s="10"/>
      <c r="N333" s="10"/>
      <c r="O333" s="12"/>
      <c r="P333" s="10"/>
      <c r="Q333" s="10"/>
      <c r="R333" s="11"/>
      <c r="S333" s="10"/>
      <c r="T333" s="10"/>
      <c r="U333" s="10"/>
      <c r="V333" s="10" t="s">
        <v>2286</v>
      </c>
      <c r="W333" s="10" t="s">
        <v>2287</v>
      </c>
      <c r="X333" s="10" t="s">
        <v>526</v>
      </c>
      <c r="Y333" s="10" t="s">
        <v>214</v>
      </c>
      <c r="Z333" s="10"/>
      <c r="AA333" s="10" t="s">
        <v>2560</v>
      </c>
      <c r="AB333" s="10"/>
      <c r="AC333" s="10" t="s">
        <v>73</v>
      </c>
      <c r="AD333" s="10" t="s">
        <v>74</v>
      </c>
      <c r="AE333" s="12"/>
      <c r="AF333" s="10"/>
      <c r="AG333" s="10"/>
      <c r="AH333" s="10" t="s">
        <v>2277</v>
      </c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2"/>
      <c r="AZ333" s="23" t="s">
        <v>80</v>
      </c>
      <c r="BA333" s="10" t="s">
        <v>797</v>
      </c>
      <c r="BB333" s="56" t="s">
        <v>2359</v>
      </c>
      <c r="BC333" s="10" t="s">
        <v>2446</v>
      </c>
      <c r="BD333" s="10"/>
      <c r="BE333" s="13"/>
      <c r="BF333" s="52"/>
    </row>
    <row r="334" spans="1:58" ht="23.4" hidden="1" x14ac:dyDescent="0.25">
      <c r="A334" s="9">
        <v>333</v>
      </c>
      <c r="B334" s="10"/>
      <c r="C334" s="10"/>
      <c r="D334" s="10" t="s">
        <v>1114</v>
      </c>
      <c r="E334" s="10"/>
      <c r="F334" s="10" t="s">
        <v>2402</v>
      </c>
      <c r="G334" s="23" t="str">
        <f>CONCATENATE(TRIM(الجدول2[[#This Row],[الاسم الأول]])," ",TRIM(الجدول2[[#This Row],[اسم الأب]])," ",TRIM(الجدول2[[#This Row],[الكنية]]))</f>
        <v>سوسن  أسعد</v>
      </c>
      <c r="H334" s="10"/>
      <c r="I334" s="11"/>
      <c r="J334" s="10" t="s">
        <v>58</v>
      </c>
      <c r="K334" s="10"/>
      <c r="L334" s="10"/>
      <c r="M334" s="10"/>
      <c r="N334" s="10"/>
      <c r="O334" s="12"/>
      <c r="P334" s="10"/>
      <c r="Q334" s="10"/>
      <c r="R334" s="11"/>
      <c r="S334" s="10"/>
      <c r="T334" s="10"/>
      <c r="U334" s="10"/>
      <c r="V334" s="10" t="s">
        <v>2286</v>
      </c>
      <c r="W334" s="10" t="s">
        <v>2287</v>
      </c>
      <c r="X334" s="10" t="s">
        <v>526</v>
      </c>
      <c r="Y334" s="10" t="s">
        <v>424</v>
      </c>
      <c r="Z334" s="10"/>
      <c r="AA334" s="10" t="s">
        <v>2560</v>
      </c>
      <c r="AB334" s="10"/>
      <c r="AC334" s="10" t="s">
        <v>73</v>
      </c>
      <c r="AD334" s="10" t="s">
        <v>74</v>
      </c>
      <c r="AE334" s="12"/>
      <c r="AF334" s="10"/>
      <c r="AG334" s="10"/>
      <c r="AH334" s="10" t="s">
        <v>2277</v>
      </c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2"/>
      <c r="AZ334" s="23" t="s">
        <v>80</v>
      </c>
      <c r="BA334" s="10" t="s">
        <v>797</v>
      </c>
      <c r="BB334" s="56" t="s">
        <v>2359</v>
      </c>
      <c r="BC334" s="10" t="s">
        <v>2446</v>
      </c>
      <c r="BD334" s="10"/>
      <c r="BE334" s="13"/>
      <c r="BF334" s="52"/>
    </row>
    <row r="335" spans="1:58" ht="23.4" hidden="1" x14ac:dyDescent="0.25">
      <c r="A335" s="9">
        <v>334</v>
      </c>
      <c r="B335" s="10"/>
      <c r="C335" s="10"/>
      <c r="D335" s="10" t="s">
        <v>495</v>
      </c>
      <c r="E335" s="10"/>
      <c r="F335" s="10" t="s">
        <v>1044</v>
      </c>
      <c r="G335" s="23" t="str">
        <f>CONCATENATE(TRIM(الجدول2[[#This Row],[الاسم الأول]])," ",TRIM(الجدول2[[#This Row],[اسم الأب]])," ",TRIM(الجدول2[[#This Row],[الكنية]]))</f>
        <v>حسان  العباس</v>
      </c>
      <c r="H335" s="10"/>
      <c r="I335" s="11"/>
      <c r="J335" s="10" t="s">
        <v>58</v>
      </c>
      <c r="K335" s="10"/>
      <c r="L335" s="10"/>
      <c r="M335" s="10"/>
      <c r="N335" s="10"/>
      <c r="O335" s="12"/>
      <c r="P335" s="10"/>
      <c r="Q335" s="10"/>
      <c r="R335" s="11"/>
      <c r="S335" s="10"/>
      <c r="T335" s="10"/>
      <c r="U335" s="10"/>
      <c r="V335" s="10" t="s">
        <v>2286</v>
      </c>
      <c r="W335" s="10" t="s">
        <v>2287</v>
      </c>
      <c r="X335" s="10" t="s">
        <v>526</v>
      </c>
      <c r="Y335" s="10" t="s">
        <v>424</v>
      </c>
      <c r="Z335" s="10"/>
      <c r="AA335" s="10" t="s">
        <v>2560</v>
      </c>
      <c r="AB335" s="10"/>
      <c r="AC335" s="10" t="s">
        <v>73</v>
      </c>
      <c r="AD335" s="10" t="s">
        <v>74</v>
      </c>
      <c r="AE335" s="12"/>
      <c r="AF335" s="10"/>
      <c r="AG335" s="10"/>
      <c r="AH335" s="10" t="s">
        <v>2277</v>
      </c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2"/>
      <c r="AZ335" s="23" t="s">
        <v>80</v>
      </c>
      <c r="BA335" s="10" t="s">
        <v>797</v>
      </c>
      <c r="BB335" s="56" t="s">
        <v>2359</v>
      </c>
      <c r="BC335" s="10" t="s">
        <v>2446</v>
      </c>
      <c r="BD335" s="10"/>
      <c r="BE335" s="13"/>
      <c r="BF335" s="52"/>
    </row>
    <row r="336" spans="1:58" ht="23.4" hidden="1" x14ac:dyDescent="0.25">
      <c r="A336" s="9">
        <v>335</v>
      </c>
      <c r="B336" s="10"/>
      <c r="C336" s="10"/>
      <c r="D336" s="10" t="s">
        <v>2404</v>
      </c>
      <c r="E336" s="10"/>
      <c r="F336" s="10" t="s">
        <v>2403</v>
      </c>
      <c r="G336" s="23" t="str">
        <f>CONCATENATE(TRIM(الجدول2[[#This Row],[الاسم الأول]])," ",TRIM(الجدول2[[#This Row],[اسم الأب]])," ",TRIM(الجدول2[[#This Row],[الكنية]]))</f>
        <v>مرام  شموط</v>
      </c>
      <c r="H336" s="10"/>
      <c r="I336" s="11"/>
      <c r="J336" s="10" t="s">
        <v>58</v>
      </c>
      <c r="K336" s="10"/>
      <c r="L336" s="10"/>
      <c r="M336" s="10"/>
      <c r="N336" s="10"/>
      <c r="O336" s="12"/>
      <c r="P336" s="10"/>
      <c r="Q336" s="10"/>
      <c r="R336" s="11"/>
      <c r="S336" s="10"/>
      <c r="T336" s="10"/>
      <c r="U336" s="10"/>
      <c r="V336" s="10" t="s">
        <v>2286</v>
      </c>
      <c r="W336" s="10" t="s">
        <v>2287</v>
      </c>
      <c r="X336" s="10" t="s">
        <v>526</v>
      </c>
      <c r="Y336" s="10" t="s">
        <v>424</v>
      </c>
      <c r="Z336" s="10"/>
      <c r="AA336" s="10" t="s">
        <v>2560</v>
      </c>
      <c r="AB336" s="10"/>
      <c r="AC336" s="10" t="s">
        <v>73</v>
      </c>
      <c r="AD336" s="10" t="s">
        <v>74</v>
      </c>
      <c r="AE336" s="12"/>
      <c r="AF336" s="10"/>
      <c r="AG336" s="10"/>
      <c r="AH336" s="10" t="s">
        <v>2277</v>
      </c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2"/>
      <c r="AZ336" s="23" t="s">
        <v>80</v>
      </c>
      <c r="BA336" s="10" t="s">
        <v>797</v>
      </c>
      <c r="BB336" s="56" t="s">
        <v>2359</v>
      </c>
      <c r="BC336" s="10" t="s">
        <v>2446</v>
      </c>
      <c r="BD336" s="10"/>
      <c r="BE336" s="13"/>
      <c r="BF336" s="52"/>
    </row>
    <row r="337" spans="1:58" ht="23.4" hidden="1" x14ac:dyDescent="0.25">
      <c r="A337" s="9">
        <v>336</v>
      </c>
      <c r="B337" s="10"/>
      <c r="C337" s="10"/>
      <c r="D337" s="10" t="s">
        <v>2138</v>
      </c>
      <c r="E337" s="10"/>
      <c r="F337" s="10" t="s">
        <v>2386</v>
      </c>
      <c r="G337" s="23" t="str">
        <f>CONCATENATE(TRIM(الجدول2[[#This Row],[الاسم الأول]])," ",TRIM(الجدول2[[#This Row],[اسم الأب]])," ",TRIM(الجدول2[[#This Row],[الكنية]]))</f>
        <v>وسيم  عثمان</v>
      </c>
      <c r="H337" s="10"/>
      <c r="I337" s="11"/>
      <c r="J337" s="10" t="s">
        <v>58</v>
      </c>
      <c r="K337" s="10"/>
      <c r="L337" s="10"/>
      <c r="M337" s="10"/>
      <c r="N337" s="10"/>
      <c r="O337" s="12"/>
      <c r="P337" s="10"/>
      <c r="Q337" s="10"/>
      <c r="R337" s="11"/>
      <c r="S337" s="10"/>
      <c r="T337" s="10"/>
      <c r="U337" s="10"/>
      <c r="V337" s="10" t="s">
        <v>2286</v>
      </c>
      <c r="W337" s="10" t="s">
        <v>2287</v>
      </c>
      <c r="X337" s="10" t="s">
        <v>526</v>
      </c>
      <c r="Y337" s="10" t="s">
        <v>424</v>
      </c>
      <c r="Z337" s="10"/>
      <c r="AA337" s="10" t="s">
        <v>2560</v>
      </c>
      <c r="AB337" s="10"/>
      <c r="AC337" s="10" t="s">
        <v>73</v>
      </c>
      <c r="AD337" s="10" t="s">
        <v>74</v>
      </c>
      <c r="AE337" s="12"/>
      <c r="AF337" s="10"/>
      <c r="AG337" s="10"/>
      <c r="AH337" s="10" t="s">
        <v>2277</v>
      </c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2"/>
      <c r="AZ337" s="23" t="s">
        <v>80</v>
      </c>
      <c r="BA337" s="10" t="s">
        <v>797</v>
      </c>
      <c r="BB337" s="56" t="s">
        <v>2359</v>
      </c>
      <c r="BC337" s="10" t="s">
        <v>2446</v>
      </c>
      <c r="BD337" s="10"/>
      <c r="BE337" s="13"/>
      <c r="BF337" s="52"/>
    </row>
    <row r="338" spans="1:58" ht="23.4" hidden="1" x14ac:dyDescent="0.25">
      <c r="A338" s="9">
        <v>337</v>
      </c>
      <c r="B338" s="10"/>
      <c r="C338" s="10"/>
      <c r="D338" s="10" t="s">
        <v>391</v>
      </c>
      <c r="E338" s="10"/>
      <c r="F338" s="10" t="s">
        <v>583</v>
      </c>
      <c r="G338" s="23" t="str">
        <f>CONCATENATE(TRIM(الجدول2[[#This Row],[الاسم الأول]])," ",TRIM(الجدول2[[#This Row],[اسم الأب]])," ",TRIM(الجدول2[[#This Row],[الكنية]]))</f>
        <v>تمام  حيدر</v>
      </c>
      <c r="H338" s="10"/>
      <c r="I338" s="11"/>
      <c r="J338" s="10" t="s">
        <v>58</v>
      </c>
      <c r="K338" s="10"/>
      <c r="L338" s="10"/>
      <c r="M338" s="10"/>
      <c r="N338" s="10"/>
      <c r="O338" s="12"/>
      <c r="P338" s="10"/>
      <c r="Q338" s="10"/>
      <c r="R338" s="11"/>
      <c r="S338" s="10"/>
      <c r="T338" s="10"/>
      <c r="U338" s="10"/>
      <c r="V338" s="10" t="s">
        <v>2286</v>
      </c>
      <c r="W338" s="10" t="s">
        <v>2287</v>
      </c>
      <c r="X338" s="10" t="s">
        <v>526</v>
      </c>
      <c r="Y338" s="10" t="s">
        <v>424</v>
      </c>
      <c r="Z338" s="10"/>
      <c r="AA338" s="10" t="s">
        <v>2560</v>
      </c>
      <c r="AB338" s="10"/>
      <c r="AC338" s="10" t="s">
        <v>73</v>
      </c>
      <c r="AD338" s="10" t="s">
        <v>74</v>
      </c>
      <c r="AE338" s="12"/>
      <c r="AF338" s="10"/>
      <c r="AG338" s="10"/>
      <c r="AH338" s="10" t="s">
        <v>2277</v>
      </c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2"/>
      <c r="AZ338" s="23" t="s">
        <v>80</v>
      </c>
      <c r="BA338" s="10" t="s">
        <v>797</v>
      </c>
      <c r="BB338" s="56" t="s">
        <v>2359</v>
      </c>
      <c r="BC338" s="10" t="s">
        <v>2446</v>
      </c>
      <c r="BD338" s="10"/>
      <c r="BE338" s="13"/>
      <c r="BF338" s="52"/>
    </row>
    <row r="339" spans="1:58" ht="23.4" hidden="1" x14ac:dyDescent="0.25">
      <c r="A339" s="9">
        <v>338</v>
      </c>
      <c r="B339" s="10"/>
      <c r="C339" s="10"/>
      <c r="D339" s="10" t="s">
        <v>2406</v>
      </c>
      <c r="E339" s="10"/>
      <c r="F339" s="10" t="s">
        <v>2405</v>
      </c>
      <c r="G339" s="23" t="str">
        <f>CONCATENATE(TRIM(الجدول2[[#This Row],[الاسم الأول]])," ",TRIM(الجدول2[[#This Row],[اسم الأب]])," ",TRIM(الجدول2[[#This Row],[الكنية]]))</f>
        <v>أحلام  إسماعيل</v>
      </c>
      <c r="H339" s="10"/>
      <c r="I339" s="11"/>
      <c r="J339" s="10" t="s">
        <v>58</v>
      </c>
      <c r="K339" s="10"/>
      <c r="L339" s="10"/>
      <c r="M339" s="10"/>
      <c r="N339" s="10"/>
      <c r="O339" s="12"/>
      <c r="P339" s="10"/>
      <c r="Q339" s="10"/>
      <c r="R339" s="11"/>
      <c r="S339" s="10"/>
      <c r="T339" s="10"/>
      <c r="U339" s="10"/>
      <c r="V339" s="10" t="s">
        <v>2286</v>
      </c>
      <c r="W339" s="10" t="s">
        <v>2287</v>
      </c>
      <c r="X339" s="10" t="s">
        <v>526</v>
      </c>
      <c r="Y339" s="10" t="s">
        <v>424</v>
      </c>
      <c r="Z339" s="10"/>
      <c r="AA339" s="10" t="s">
        <v>2560</v>
      </c>
      <c r="AB339" s="10"/>
      <c r="AC339" s="10" t="s">
        <v>73</v>
      </c>
      <c r="AD339" s="10" t="s">
        <v>74</v>
      </c>
      <c r="AE339" s="12"/>
      <c r="AF339" s="10"/>
      <c r="AG339" s="10"/>
      <c r="AH339" s="10" t="s">
        <v>2277</v>
      </c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2"/>
      <c r="AZ339" s="23" t="s">
        <v>80</v>
      </c>
      <c r="BA339" s="10" t="s">
        <v>797</v>
      </c>
      <c r="BB339" s="56" t="s">
        <v>2359</v>
      </c>
      <c r="BC339" s="10" t="s">
        <v>2446</v>
      </c>
      <c r="BD339" s="10"/>
      <c r="BE339" s="13"/>
      <c r="BF339" s="52"/>
    </row>
    <row r="340" spans="1:58" ht="23.4" hidden="1" x14ac:dyDescent="0.25">
      <c r="A340" s="9">
        <v>339</v>
      </c>
      <c r="B340" s="10"/>
      <c r="C340" s="10"/>
      <c r="D340" s="10" t="s">
        <v>2408</v>
      </c>
      <c r="E340" s="10"/>
      <c r="F340" s="10" t="s">
        <v>81</v>
      </c>
      <c r="G340" s="23" t="str">
        <f>CONCATENATE(TRIM(الجدول2[[#This Row],[الاسم الأول]])," ",TRIM(الجدول2[[#This Row],[اسم الأب]])," ",TRIM(الجدول2[[#This Row],[الكنية]]))</f>
        <v>حازم  سليم</v>
      </c>
      <c r="H340" s="10"/>
      <c r="I340" s="11"/>
      <c r="J340" s="10" t="s">
        <v>58</v>
      </c>
      <c r="K340" s="10"/>
      <c r="L340" s="10"/>
      <c r="M340" s="10"/>
      <c r="N340" s="10"/>
      <c r="O340" s="12"/>
      <c r="P340" s="10"/>
      <c r="Q340" s="10"/>
      <c r="R340" s="11"/>
      <c r="S340" s="10"/>
      <c r="T340" s="10"/>
      <c r="U340" s="10"/>
      <c r="V340" s="10" t="s">
        <v>2286</v>
      </c>
      <c r="W340" s="10" t="s">
        <v>2287</v>
      </c>
      <c r="X340" s="10" t="s">
        <v>526</v>
      </c>
      <c r="Y340" s="10" t="s">
        <v>424</v>
      </c>
      <c r="Z340" s="10"/>
      <c r="AA340" s="10" t="s">
        <v>2560</v>
      </c>
      <c r="AB340" s="10"/>
      <c r="AC340" s="10" t="s">
        <v>73</v>
      </c>
      <c r="AD340" s="10" t="s">
        <v>74</v>
      </c>
      <c r="AE340" s="12"/>
      <c r="AF340" s="10"/>
      <c r="AG340" s="10"/>
      <c r="AH340" s="10" t="s">
        <v>2277</v>
      </c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2"/>
      <c r="AZ340" s="23" t="s">
        <v>80</v>
      </c>
      <c r="BA340" s="10" t="s">
        <v>797</v>
      </c>
      <c r="BB340" s="56" t="s">
        <v>2359</v>
      </c>
      <c r="BC340" s="10" t="s">
        <v>2446</v>
      </c>
      <c r="BD340" s="10"/>
      <c r="BE340" s="13"/>
      <c r="BF340" s="52"/>
    </row>
    <row r="341" spans="1:58" ht="23.4" hidden="1" x14ac:dyDescent="0.25">
      <c r="A341" s="9">
        <v>340</v>
      </c>
      <c r="B341" s="10"/>
      <c r="C341" s="10"/>
      <c r="D341" s="10" t="s">
        <v>2409</v>
      </c>
      <c r="E341" s="10"/>
      <c r="F341" s="10" t="s">
        <v>2407</v>
      </c>
      <c r="G341" s="23" t="str">
        <f>CONCATENATE(TRIM(الجدول2[[#This Row],[الاسم الأول]])," ",TRIM(الجدول2[[#This Row],[اسم الأب]])," ",TRIM(الجدول2[[#This Row],[الكنية]]))</f>
        <v>أنس  زروف</v>
      </c>
      <c r="H341" s="10"/>
      <c r="I341" s="11"/>
      <c r="J341" s="10" t="s">
        <v>58</v>
      </c>
      <c r="K341" s="10"/>
      <c r="L341" s="10"/>
      <c r="M341" s="10"/>
      <c r="N341" s="10"/>
      <c r="O341" s="12"/>
      <c r="P341" s="10"/>
      <c r="Q341" s="10"/>
      <c r="R341" s="11"/>
      <c r="S341" s="10"/>
      <c r="T341" s="10"/>
      <c r="U341" s="10"/>
      <c r="V341" s="10" t="s">
        <v>2286</v>
      </c>
      <c r="W341" s="10" t="s">
        <v>2287</v>
      </c>
      <c r="X341" s="10" t="s">
        <v>526</v>
      </c>
      <c r="Y341" s="10" t="s">
        <v>424</v>
      </c>
      <c r="Z341" s="10"/>
      <c r="AA341" s="10" t="s">
        <v>2560</v>
      </c>
      <c r="AB341" s="10"/>
      <c r="AC341" s="10" t="s">
        <v>73</v>
      </c>
      <c r="AD341" s="10" t="s">
        <v>74</v>
      </c>
      <c r="AE341" s="12"/>
      <c r="AF341" s="10"/>
      <c r="AG341" s="10"/>
      <c r="AH341" s="10" t="s">
        <v>2277</v>
      </c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2"/>
      <c r="AZ341" s="23" t="s">
        <v>80</v>
      </c>
      <c r="BA341" s="10" t="s">
        <v>797</v>
      </c>
      <c r="BB341" s="56" t="s">
        <v>2359</v>
      </c>
      <c r="BC341" s="10" t="s">
        <v>2446</v>
      </c>
      <c r="BD341" s="10"/>
      <c r="BE341" s="13"/>
      <c r="BF341" s="52"/>
    </row>
    <row r="342" spans="1:58" ht="23.4" hidden="1" x14ac:dyDescent="0.25">
      <c r="A342" s="9">
        <v>341</v>
      </c>
      <c r="B342" s="10"/>
      <c r="C342" s="10"/>
      <c r="D342" s="10" t="s">
        <v>2410</v>
      </c>
      <c r="E342" s="10"/>
      <c r="F342" s="10" t="s">
        <v>2178</v>
      </c>
      <c r="G342" s="23" t="str">
        <f>CONCATENATE(TRIM(الجدول2[[#This Row],[الاسم الأول]])," ",TRIM(الجدول2[[#This Row],[اسم الأب]])," ",TRIM(الجدول2[[#This Row],[الكنية]]))</f>
        <v>لجين  سلوم</v>
      </c>
      <c r="H342" s="10"/>
      <c r="I342" s="11"/>
      <c r="J342" s="10" t="s">
        <v>58</v>
      </c>
      <c r="K342" s="10"/>
      <c r="L342" s="10"/>
      <c r="M342" s="10"/>
      <c r="N342" s="10"/>
      <c r="O342" s="12"/>
      <c r="P342" s="10"/>
      <c r="Q342" s="10"/>
      <c r="R342" s="11"/>
      <c r="S342" s="10"/>
      <c r="T342" s="10"/>
      <c r="U342" s="10"/>
      <c r="V342" s="10" t="s">
        <v>2286</v>
      </c>
      <c r="W342" s="10" t="s">
        <v>2287</v>
      </c>
      <c r="X342" s="10" t="s">
        <v>526</v>
      </c>
      <c r="Y342" s="10" t="s">
        <v>424</v>
      </c>
      <c r="Z342" s="10"/>
      <c r="AA342" s="10" t="s">
        <v>2560</v>
      </c>
      <c r="AB342" s="10"/>
      <c r="AC342" s="10" t="s">
        <v>73</v>
      </c>
      <c r="AD342" s="10" t="s">
        <v>74</v>
      </c>
      <c r="AE342" s="12"/>
      <c r="AF342" s="10"/>
      <c r="AG342" s="10"/>
      <c r="AH342" s="10" t="s">
        <v>2277</v>
      </c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2"/>
      <c r="AZ342" s="23" t="s">
        <v>80</v>
      </c>
      <c r="BA342" s="10" t="s">
        <v>797</v>
      </c>
      <c r="BB342" s="56" t="s">
        <v>2359</v>
      </c>
      <c r="BC342" s="10" t="s">
        <v>2446</v>
      </c>
      <c r="BD342" s="10"/>
      <c r="BE342" s="13"/>
      <c r="BF342" s="52"/>
    </row>
    <row r="343" spans="1:58" ht="23.4" hidden="1" x14ac:dyDescent="0.25">
      <c r="A343" s="9">
        <v>342</v>
      </c>
      <c r="B343" s="10"/>
      <c r="C343" s="10"/>
      <c r="D343" s="10" t="s">
        <v>1204</v>
      </c>
      <c r="E343" s="10" t="s">
        <v>131</v>
      </c>
      <c r="F343" s="10" t="s">
        <v>160</v>
      </c>
      <c r="G343" s="23" t="str">
        <f>CONCATENATE(TRIM(الجدول2[[#This Row],[الاسم الأول]])," ",TRIM(الجدول2[[#This Row],[اسم الأب]])," ",TRIM(الجدول2[[#This Row],[الكنية]]))</f>
        <v>عبير علي صالح</v>
      </c>
      <c r="H343" s="10"/>
      <c r="I343" s="11"/>
      <c r="J343" s="10" t="s">
        <v>58</v>
      </c>
      <c r="K343" s="10"/>
      <c r="L343" s="10"/>
      <c r="M343" s="10"/>
      <c r="N343" s="10"/>
      <c r="O343" s="12"/>
      <c r="P343" s="10"/>
      <c r="Q343" s="10"/>
      <c r="R343" s="11"/>
      <c r="S343" s="10"/>
      <c r="T343" s="10"/>
      <c r="U343" s="10"/>
      <c r="V343" s="10" t="s">
        <v>2286</v>
      </c>
      <c r="W343" s="10" t="s">
        <v>2287</v>
      </c>
      <c r="X343" s="10" t="s">
        <v>526</v>
      </c>
      <c r="Y343" s="10" t="s">
        <v>424</v>
      </c>
      <c r="Z343" s="10"/>
      <c r="AA343" s="10" t="s">
        <v>2560</v>
      </c>
      <c r="AB343" s="10"/>
      <c r="AC343" s="10" t="s">
        <v>73</v>
      </c>
      <c r="AD343" s="10" t="s">
        <v>74</v>
      </c>
      <c r="AE343" s="12"/>
      <c r="AF343" s="10"/>
      <c r="AG343" s="10"/>
      <c r="AH343" s="10" t="s">
        <v>124</v>
      </c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2"/>
      <c r="AZ343" s="23" t="s">
        <v>80</v>
      </c>
      <c r="BA343" s="10" t="s">
        <v>121</v>
      </c>
      <c r="BB343" s="56" t="s">
        <v>2359</v>
      </c>
      <c r="BC343" s="10" t="s">
        <v>2446</v>
      </c>
      <c r="BD343" s="10"/>
      <c r="BE343" s="13"/>
      <c r="BF343" s="52"/>
    </row>
    <row r="344" spans="1:58" ht="23.4" hidden="1" x14ac:dyDescent="0.25">
      <c r="A344" s="9">
        <v>343</v>
      </c>
      <c r="B344" s="10"/>
      <c r="C344" s="10"/>
      <c r="D344" s="10" t="s">
        <v>1066</v>
      </c>
      <c r="E344" s="10" t="s">
        <v>334</v>
      </c>
      <c r="F344" s="10" t="s">
        <v>131</v>
      </c>
      <c r="G344" s="23" t="str">
        <f>CONCATENATE(TRIM(الجدول2[[#This Row],[الاسم الأول]])," ",TRIM(الجدول2[[#This Row],[اسم الأب]])," ",TRIM(الجدول2[[#This Row],[الكنية]]))</f>
        <v>سمر سلمان علي</v>
      </c>
      <c r="H344" s="10"/>
      <c r="I344" s="11"/>
      <c r="J344" s="10" t="s">
        <v>58</v>
      </c>
      <c r="K344" s="10"/>
      <c r="L344" s="10"/>
      <c r="M344" s="10"/>
      <c r="N344" s="10"/>
      <c r="O344" s="12"/>
      <c r="P344" s="10"/>
      <c r="Q344" s="10"/>
      <c r="R344" s="11"/>
      <c r="S344" s="10"/>
      <c r="T344" s="10"/>
      <c r="U344" s="10"/>
      <c r="V344" s="10" t="s">
        <v>2286</v>
      </c>
      <c r="W344" s="10" t="s">
        <v>2287</v>
      </c>
      <c r="X344" s="10" t="s">
        <v>526</v>
      </c>
      <c r="Y344" s="10" t="s">
        <v>424</v>
      </c>
      <c r="Z344" s="10"/>
      <c r="AA344" s="10" t="s">
        <v>2560</v>
      </c>
      <c r="AB344" s="10"/>
      <c r="AC344" s="10" t="s">
        <v>73</v>
      </c>
      <c r="AD344" s="10" t="s">
        <v>74</v>
      </c>
      <c r="AE344" s="12"/>
      <c r="AF344" s="10"/>
      <c r="AG344" s="10"/>
      <c r="AH344" s="10" t="s">
        <v>124</v>
      </c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2"/>
      <c r="AZ344" s="23" t="s">
        <v>80</v>
      </c>
      <c r="BA344" s="10" t="s">
        <v>2450</v>
      </c>
      <c r="BB344" s="56" t="s">
        <v>2359</v>
      </c>
      <c r="BC344" s="10" t="s">
        <v>2446</v>
      </c>
      <c r="BD344" s="10"/>
      <c r="BE344" s="13"/>
      <c r="BF344" s="52"/>
    </row>
    <row r="345" spans="1:58" ht="23.4" hidden="1" x14ac:dyDescent="0.25">
      <c r="A345" s="9">
        <v>344</v>
      </c>
      <c r="B345" s="10"/>
      <c r="C345" s="10"/>
      <c r="D345" s="10" t="s">
        <v>800</v>
      </c>
      <c r="E345" s="10" t="s">
        <v>131</v>
      </c>
      <c r="F345" s="10" t="s">
        <v>2411</v>
      </c>
      <c r="G345" s="23" t="str">
        <f>CONCATENATE(TRIM(الجدول2[[#This Row],[الاسم الأول]])," ",TRIM(الجدول2[[#This Row],[اسم الأب]])," ",TRIM(الجدول2[[#This Row],[الكنية]]))</f>
        <v>رشا علي محفوض</v>
      </c>
      <c r="H345" s="10"/>
      <c r="I345" s="11"/>
      <c r="J345" s="10" t="s">
        <v>58</v>
      </c>
      <c r="K345" s="10"/>
      <c r="L345" s="10"/>
      <c r="M345" s="10"/>
      <c r="N345" s="10"/>
      <c r="O345" s="12"/>
      <c r="P345" s="10"/>
      <c r="Q345" s="10"/>
      <c r="R345" s="11"/>
      <c r="S345" s="10"/>
      <c r="T345" s="10"/>
      <c r="U345" s="10"/>
      <c r="V345" s="10" t="s">
        <v>2286</v>
      </c>
      <c r="W345" s="10" t="s">
        <v>2287</v>
      </c>
      <c r="X345" s="10" t="s">
        <v>526</v>
      </c>
      <c r="Y345" s="10" t="s">
        <v>2433</v>
      </c>
      <c r="Z345" s="10"/>
      <c r="AA345" s="10" t="s">
        <v>2560</v>
      </c>
      <c r="AB345" s="10"/>
      <c r="AC345" s="10" t="s">
        <v>73</v>
      </c>
      <c r="AD345" s="10" t="s">
        <v>74</v>
      </c>
      <c r="AE345" s="12"/>
      <c r="AF345" s="10"/>
      <c r="AG345" s="10"/>
      <c r="AH345" s="10" t="s">
        <v>2277</v>
      </c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2"/>
      <c r="AZ345" s="23" t="s">
        <v>80</v>
      </c>
      <c r="BA345" s="10" t="s">
        <v>443</v>
      </c>
      <c r="BB345" s="56" t="s">
        <v>2359</v>
      </c>
      <c r="BC345" s="10" t="s">
        <v>2446</v>
      </c>
      <c r="BD345" s="10"/>
      <c r="BE345" s="13"/>
      <c r="BF345" s="52"/>
    </row>
    <row r="346" spans="1:58" ht="23.4" hidden="1" x14ac:dyDescent="0.25">
      <c r="A346" s="9">
        <v>345</v>
      </c>
      <c r="B346" s="10"/>
      <c r="C346" s="10"/>
      <c r="D346" s="10" t="s">
        <v>1480</v>
      </c>
      <c r="E346" s="10" t="s">
        <v>86</v>
      </c>
      <c r="F346" s="10" t="s">
        <v>2412</v>
      </c>
      <c r="G346" s="23" t="str">
        <f>CONCATENATE(TRIM(الجدول2[[#This Row],[الاسم الأول]])," ",TRIM(الجدول2[[#This Row],[اسم الأب]])," ",TRIM(الجدول2[[#This Row],[الكنية]]))</f>
        <v>لارا احمد كفى</v>
      </c>
      <c r="H346" s="10"/>
      <c r="I346" s="11"/>
      <c r="J346" s="10" t="s">
        <v>58</v>
      </c>
      <c r="K346" s="10"/>
      <c r="L346" s="10"/>
      <c r="M346" s="10"/>
      <c r="N346" s="10"/>
      <c r="O346" s="12"/>
      <c r="P346" s="10"/>
      <c r="Q346" s="10"/>
      <c r="R346" s="11"/>
      <c r="S346" s="10"/>
      <c r="T346" s="10"/>
      <c r="U346" s="10"/>
      <c r="V346" s="10" t="s">
        <v>2286</v>
      </c>
      <c r="W346" s="10" t="s">
        <v>2287</v>
      </c>
      <c r="X346" s="10" t="s">
        <v>526</v>
      </c>
      <c r="Y346" s="10" t="s">
        <v>2439</v>
      </c>
      <c r="Z346" s="10"/>
      <c r="AA346" s="10" t="s">
        <v>2560</v>
      </c>
      <c r="AB346" s="10"/>
      <c r="AC346" s="10" t="s">
        <v>73</v>
      </c>
      <c r="AD346" s="10" t="s">
        <v>74</v>
      </c>
      <c r="AE346" s="12"/>
      <c r="AF346" s="10"/>
      <c r="AG346" s="10"/>
      <c r="AH346" s="10" t="s">
        <v>140</v>
      </c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2"/>
      <c r="AZ346" s="23" t="s">
        <v>80</v>
      </c>
      <c r="BA346" s="10" t="s">
        <v>443</v>
      </c>
      <c r="BB346" s="56" t="s">
        <v>2359</v>
      </c>
      <c r="BC346" s="10" t="s">
        <v>2446</v>
      </c>
      <c r="BD346" s="10"/>
      <c r="BE346" s="13"/>
      <c r="BF346" s="52"/>
    </row>
    <row r="347" spans="1:58" ht="23.4" hidden="1" x14ac:dyDescent="0.25">
      <c r="A347" s="9">
        <v>346</v>
      </c>
      <c r="B347" s="10"/>
      <c r="C347" s="10"/>
      <c r="D347" s="10" t="s">
        <v>2413</v>
      </c>
      <c r="E347" s="10" t="s">
        <v>506</v>
      </c>
      <c r="F347" s="10" t="s">
        <v>411</v>
      </c>
      <c r="G347" s="23" t="str">
        <f>CONCATENATE(TRIM(الجدول2[[#This Row],[الاسم الأول]])," ",TRIM(الجدول2[[#This Row],[اسم الأب]])," ",TRIM(الجدول2[[#This Row],[الكنية]]))</f>
        <v>عولا عيسى سليمان</v>
      </c>
      <c r="H347" s="10"/>
      <c r="I347" s="11"/>
      <c r="J347" s="10" t="s">
        <v>58</v>
      </c>
      <c r="K347" s="10"/>
      <c r="L347" s="10"/>
      <c r="M347" s="10"/>
      <c r="N347" s="10"/>
      <c r="O347" s="12"/>
      <c r="P347" s="10"/>
      <c r="Q347" s="10"/>
      <c r="R347" s="11"/>
      <c r="S347" s="10"/>
      <c r="T347" s="10"/>
      <c r="U347" s="10"/>
      <c r="V347" s="10" t="s">
        <v>2286</v>
      </c>
      <c r="W347" s="10" t="s">
        <v>2287</v>
      </c>
      <c r="X347" s="10" t="s">
        <v>526</v>
      </c>
      <c r="Y347" s="10" t="s">
        <v>424</v>
      </c>
      <c r="Z347" s="10"/>
      <c r="AA347" s="10" t="s">
        <v>2560</v>
      </c>
      <c r="AB347" s="10"/>
      <c r="AC347" s="10" t="s">
        <v>73</v>
      </c>
      <c r="AD347" s="10" t="s">
        <v>74</v>
      </c>
      <c r="AE347" s="12"/>
      <c r="AF347" s="10"/>
      <c r="AG347" s="10"/>
      <c r="AH347" s="10" t="s">
        <v>124</v>
      </c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2"/>
      <c r="AZ347" s="23" t="s">
        <v>80</v>
      </c>
      <c r="BA347" s="10" t="s">
        <v>2451</v>
      </c>
      <c r="BB347" s="56" t="s">
        <v>2359</v>
      </c>
      <c r="BC347" s="10" t="s">
        <v>2446</v>
      </c>
      <c r="BD347" s="10"/>
      <c r="BE347" s="13"/>
      <c r="BF347" s="52"/>
    </row>
    <row r="348" spans="1:58" ht="23.4" hidden="1" x14ac:dyDescent="0.25">
      <c r="A348" s="9">
        <v>347</v>
      </c>
      <c r="B348" s="10"/>
      <c r="C348" s="10"/>
      <c r="D348" s="10" t="s">
        <v>2414</v>
      </c>
      <c r="E348" s="10" t="s">
        <v>282</v>
      </c>
      <c r="F348" s="10" t="s">
        <v>596</v>
      </c>
      <c r="G348" s="23" t="str">
        <f>CONCATENATE(TRIM(الجدول2[[#This Row],[الاسم الأول]])," ",TRIM(الجدول2[[#This Row],[اسم الأب]])," ",TRIM(الجدول2[[#This Row],[الكنية]]))</f>
        <v>سميرة بديع خضر</v>
      </c>
      <c r="H348" s="10"/>
      <c r="I348" s="11"/>
      <c r="J348" s="10" t="s">
        <v>58</v>
      </c>
      <c r="K348" s="10"/>
      <c r="L348" s="10"/>
      <c r="M348" s="10"/>
      <c r="N348" s="10"/>
      <c r="O348" s="12"/>
      <c r="P348" s="10"/>
      <c r="Q348" s="10"/>
      <c r="R348" s="11"/>
      <c r="S348" s="10"/>
      <c r="T348" s="10"/>
      <c r="U348" s="10"/>
      <c r="V348" s="10" t="s">
        <v>2286</v>
      </c>
      <c r="W348" s="10" t="s">
        <v>2287</v>
      </c>
      <c r="X348" s="10" t="s">
        <v>526</v>
      </c>
      <c r="Y348" s="10" t="s">
        <v>424</v>
      </c>
      <c r="Z348" s="10"/>
      <c r="AA348" s="10" t="s">
        <v>2560</v>
      </c>
      <c r="AB348" s="10"/>
      <c r="AC348" s="10" t="s">
        <v>73</v>
      </c>
      <c r="AD348" s="10" t="s">
        <v>74</v>
      </c>
      <c r="AE348" s="12"/>
      <c r="AF348" s="10"/>
      <c r="AG348" s="10"/>
      <c r="AH348" s="10" t="s">
        <v>124</v>
      </c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2"/>
      <c r="AZ348" s="23" t="s">
        <v>80</v>
      </c>
      <c r="BA348" s="10" t="s">
        <v>2451</v>
      </c>
      <c r="BB348" s="56" t="s">
        <v>2359</v>
      </c>
      <c r="BC348" s="10" t="s">
        <v>2446</v>
      </c>
      <c r="BD348" s="10"/>
      <c r="BE348" s="13"/>
      <c r="BF348" s="52"/>
    </row>
    <row r="349" spans="1:58" ht="23.4" hidden="1" x14ac:dyDescent="0.25">
      <c r="A349" s="9">
        <v>348</v>
      </c>
      <c r="B349" s="10"/>
      <c r="C349" s="10"/>
      <c r="D349" s="10" t="s">
        <v>1403</v>
      </c>
      <c r="E349" s="10" t="s">
        <v>115</v>
      </c>
      <c r="F349" s="10" t="s">
        <v>1867</v>
      </c>
      <c r="G349" s="23" t="str">
        <f>CONCATENATE(TRIM(الجدول2[[#This Row],[الاسم الأول]])," ",TRIM(الجدول2[[#This Row],[اسم الأب]])," ",TRIM(الجدول2[[#This Row],[الكنية]]))</f>
        <v>فادي محمد منصور</v>
      </c>
      <c r="H349" s="10"/>
      <c r="I349" s="11"/>
      <c r="J349" s="10" t="s">
        <v>58</v>
      </c>
      <c r="K349" s="10"/>
      <c r="L349" s="10"/>
      <c r="M349" s="10"/>
      <c r="N349" s="10"/>
      <c r="O349" s="12"/>
      <c r="P349" s="10"/>
      <c r="Q349" s="10"/>
      <c r="R349" s="11"/>
      <c r="S349" s="10"/>
      <c r="T349" s="10"/>
      <c r="U349" s="10"/>
      <c r="V349" s="10" t="s">
        <v>2286</v>
      </c>
      <c r="W349" s="10" t="s">
        <v>2287</v>
      </c>
      <c r="X349" s="10" t="s">
        <v>526</v>
      </c>
      <c r="Y349" s="10" t="s">
        <v>424</v>
      </c>
      <c r="Z349" s="10"/>
      <c r="AA349" s="10" t="s">
        <v>2560</v>
      </c>
      <c r="AB349" s="10"/>
      <c r="AC349" s="10" t="s">
        <v>73</v>
      </c>
      <c r="AD349" s="10" t="s">
        <v>74</v>
      </c>
      <c r="AE349" s="12"/>
      <c r="AF349" s="10"/>
      <c r="AG349" s="10"/>
      <c r="AH349" s="10" t="s">
        <v>140</v>
      </c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2"/>
      <c r="AZ349" s="23" t="s">
        <v>80</v>
      </c>
      <c r="BA349" s="10" t="s">
        <v>2451</v>
      </c>
      <c r="BB349" s="56" t="s">
        <v>2359</v>
      </c>
      <c r="BC349" s="10" t="s">
        <v>2446</v>
      </c>
      <c r="BD349" s="10"/>
      <c r="BE349" s="13"/>
      <c r="BF349" s="52"/>
    </row>
    <row r="350" spans="1:58" ht="23.4" hidden="1" x14ac:dyDescent="0.25">
      <c r="A350" s="9">
        <v>349</v>
      </c>
      <c r="B350" s="10"/>
      <c r="C350" s="10"/>
      <c r="D350" s="10" t="s">
        <v>2415</v>
      </c>
      <c r="E350" s="10" t="s">
        <v>131</v>
      </c>
      <c r="F350" s="10" t="s">
        <v>1088</v>
      </c>
      <c r="G350" s="23" t="str">
        <f>CONCATENATE(TRIM(الجدول2[[#This Row],[الاسم الأول]])," ",TRIM(الجدول2[[#This Row],[اسم الأب]])," ",TRIM(الجدول2[[#This Row],[الكنية]]))</f>
        <v>عبد السلام علي غانم</v>
      </c>
      <c r="H350" s="10"/>
      <c r="I350" s="11"/>
      <c r="J350" s="10" t="s">
        <v>58</v>
      </c>
      <c r="K350" s="10"/>
      <c r="L350" s="10"/>
      <c r="M350" s="10"/>
      <c r="N350" s="10"/>
      <c r="O350" s="12"/>
      <c r="P350" s="10"/>
      <c r="Q350" s="10"/>
      <c r="R350" s="11"/>
      <c r="S350" s="10"/>
      <c r="T350" s="10"/>
      <c r="U350" s="10"/>
      <c r="V350" s="10" t="s">
        <v>2286</v>
      </c>
      <c r="W350" s="10" t="s">
        <v>2287</v>
      </c>
      <c r="X350" s="10" t="s">
        <v>526</v>
      </c>
      <c r="Y350" s="10" t="s">
        <v>424</v>
      </c>
      <c r="Z350" s="10"/>
      <c r="AA350" s="10" t="s">
        <v>2560</v>
      </c>
      <c r="AB350" s="10"/>
      <c r="AC350" s="10" t="s">
        <v>73</v>
      </c>
      <c r="AD350" s="10" t="s">
        <v>74</v>
      </c>
      <c r="AE350" s="12"/>
      <c r="AF350" s="10"/>
      <c r="AG350" s="10"/>
      <c r="AH350" s="10" t="s">
        <v>2277</v>
      </c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2"/>
      <c r="AZ350" s="23" t="s">
        <v>80</v>
      </c>
      <c r="BA350" s="10" t="s">
        <v>2452</v>
      </c>
      <c r="BB350" s="56" t="s">
        <v>2359</v>
      </c>
      <c r="BC350" s="10" t="s">
        <v>2446</v>
      </c>
      <c r="BD350" s="10"/>
      <c r="BE350" s="13"/>
      <c r="BF350" s="52"/>
    </row>
    <row r="351" spans="1:58" ht="23.4" hidden="1" x14ac:dyDescent="0.25">
      <c r="A351" s="9">
        <v>350</v>
      </c>
      <c r="B351" s="10"/>
      <c r="C351" s="10"/>
      <c r="D351" s="10" t="s">
        <v>131</v>
      </c>
      <c r="E351" s="10" t="s">
        <v>751</v>
      </c>
      <c r="F351" s="10" t="s">
        <v>507</v>
      </c>
      <c r="G351" s="23" t="str">
        <f>CONCATENATE(TRIM(الجدول2[[#This Row],[الاسم الأول]])," ",TRIM(الجدول2[[#This Row],[اسم الأب]])," ",TRIM(الجدول2[[#This Row],[الكنية]]))</f>
        <v>علي محرز خليل</v>
      </c>
      <c r="H351" s="10"/>
      <c r="I351" s="11"/>
      <c r="J351" s="10" t="s">
        <v>58</v>
      </c>
      <c r="K351" s="10"/>
      <c r="L351" s="10"/>
      <c r="M351" s="10"/>
      <c r="N351" s="10"/>
      <c r="O351" s="12"/>
      <c r="P351" s="10"/>
      <c r="Q351" s="10"/>
      <c r="R351" s="11"/>
      <c r="S351" s="10"/>
      <c r="T351" s="10"/>
      <c r="U351" s="10"/>
      <c r="V351" s="10" t="s">
        <v>2286</v>
      </c>
      <c r="W351" s="10" t="s">
        <v>2287</v>
      </c>
      <c r="X351" s="10" t="s">
        <v>526</v>
      </c>
      <c r="Y351" s="10" t="s">
        <v>424</v>
      </c>
      <c r="Z351" s="10"/>
      <c r="AA351" s="10" t="s">
        <v>2560</v>
      </c>
      <c r="AB351" s="10"/>
      <c r="AC351" s="10" t="s">
        <v>73</v>
      </c>
      <c r="AD351" s="10" t="s">
        <v>74</v>
      </c>
      <c r="AE351" s="12"/>
      <c r="AF351" s="10"/>
      <c r="AG351" s="10"/>
      <c r="AH351" s="10" t="s">
        <v>2277</v>
      </c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2"/>
      <c r="AZ351" s="23" t="s">
        <v>80</v>
      </c>
      <c r="BA351" s="10" t="s">
        <v>2452</v>
      </c>
      <c r="BB351" s="56" t="s">
        <v>2359</v>
      </c>
      <c r="BC351" s="10" t="s">
        <v>2446</v>
      </c>
      <c r="BD351" s="10"/>
      <c r="BE351" s="13"/>
      <c r="BF351" s="52"/>
    </row>
    <row r="352" spans="1:58" ht="23.4" hidden="1" x14ac:dyDescent="0.25">
      <c r="A352" s="9">
        <v>351</v>
      </c>
      <c r="B352" s="10"/>
      <c r="C352" s="10"/>
      <c r="D352" s="10" t="s">
        <v>2416</v>
      </c>
      <c r="E352" s="10" t="s">
        <v>1368</v>
      </c>
      <c r="F352" s="10" t="s">
        <v>2386</v>
      </c>
      <c r="G352" s="23" t="str">
        <f>CONCATENATE(TRIM(الجدول2[[#This Row],[الاسم الأول]])," ",TRIM(الجدول2[[#This Row],[اسم الأب]])," ",TRIM(الجدول2[[#This Row],[الكنية]]))</f>
        <v>شادي إبراهيم عثمان</v>
      </c>
      <c r="H352" s="10"/>
      <c r="I352" s="11"/>
      <c r="J352" s="10" t="s">
        <v>58</v>
      </c>
      <c r="K352" s="10"/>
      <c r="L352" s="10"/>
      <c r="M352" s="10"/>
      <c r="N352" s="10"/>
      <c r="O352" s="12"/>
      <c r="P352" s="10"/>
      <c r="Q352" s="10"/>
      <c r="R352" s="11"/>
      <c r="S352" s="10"/>
      <c r="T352" s="10"/>
      <c r="U352" s="10"/>
      <c r="V352" s="10" t="s">
        <v>2286</v>
      </c>
      <c r="W352" s="10" t="s">
        <v>2287</v>
      </c>
      <c r="X352" s="10" t="s">
        <v>526</v>
      </c>
      <c r="Y352" s="10" t="s">
        <v>424</v>
      </c>
      <c r="Z352" s="10"/>
      <c r="AA352" s="10" t="s">
        <v>2560</v>
      </c>
      <c r="AB352" s="10"/>
      <c r="AC352" s="10" t="s">
        <v>73</v>
      </c>
      <c r="AD352" s="10" t="s">
        <v>74</v>
      </c>
      <c r="AE352" s="12"/>
      <c r="AF352" s="10"/>
      <c r="AG352" s="10"/>
      <c r="AH352" s="10" t="s">
        <v>124</v>
      </c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2"/>
      <c r="AZ352" s="23" t="s">
        <v>80</v>
      </c>
      <c r="BA352" s="10" t="s">
        <v>2452</v>
      </c>
      <c r="BB352" s="56" t="s">
        <v>2359</v>
      </c>
      <c r="BC352" s="10" t="s">
        <v>2446</v>
      </c>
      <c r="BD352" s="10"/>
      <c r="BE352" s="13"/>
      <c r="BF352" s="52"/>
    </row>
    <row r="353" spans="1:58" ht="23.4" hidden="1" x14ac:dyDescent="0.25">
      <c r="A353" s="9">
        <v>352</v>
      </c>
      <c r="B353" s="10"/>
      <c r="C353" s="10"/>
      <c r="D353" s="10" t="s">
        <v>115</v>
      </c>
      <c r="E353" s="10" t="s">
        <v>2417</v>
      </c>
      <c r="F353" s="10" t="s">
        <v>930</v>
      </c>
      <c r="G353" s="23" t="str">
        <f>CONCATENATE(TRIM(الجدول2[[#This Row],[الاسم الأول]])," ",TRIM(الجدول2[[#This Row],[اسم الأب]])," ",TRIM(الجدول2[[#This Row],[الكنية]]))</f>
        <v>محمد حامد مصطفى</v>
      </c>
      <c r="H353" s="10"/>
      <c r="I353" s="11"/>
      <c r="J353" s="10" t="s">
        <v>58</v>
      </c>
      <c r="K353" s="10"/>
      <c r="L353" s="10"/>
      <c r="M353" s="10"/>
      <c r="N353" s="10"/>
      <c r="O353" s="12"/>
      <c r="P353" s="10"/>
      <c r="Q353" s="10"/>
      <c r="R353" s="11"/>
      <c r="S353" s="10"/>
      <c r="T353" s="10"/>
      <c r="U353" s="10"/>
      <c r="V353" s="10" t="s">
        <v>2286</v>
      </c>
      <c r="W353" s="10" t="s">
        <v>2287</v>
      </c>
      <c r="X353" s="10" t="s">
        <v>526</v>
      </c>
      <c r="Y353" s="10" t="s">
        <v>214</v>
      </c>
      <c r="Z353" s="10"/>
      <c r="AA353" s="10" t="s">
        <v>2560</v>
      </c>
      <c r="AB353" s="10"/>
      <c r="AC353" s="10" t="s">
        <v>73</v>
      </c>
      <c r="AD353" s="10" t="s">
        <v>74</v>
      </c>
      <c r="AE353" s="12"/>
      <c r="AF353" s="10"/>
      <c r="AG353" s="10"/>
      <c r="AH353" s="10" t="s">
        <v>2277</v>
      </c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2"/>
      <c r="AZ353" s="23" t="s">
        <v>80</v>
      </c>
      <c r="BA353" s="10" t="s">
        <v>2453</v>
      </c>
      <c r="BB353" s="56" t="s">
        <v>2359</v>
      </c>
      <c r="BC353" s="10" t="s">
        <v>2446</v>
      </c>
      <c r="BD353" s="10"/>
      <c r="BE353" s="13"/>
      <c r="BF353" s="52"/>
    </row>
    <row r="354" spans="1:58" ht="23.4" hidden="1" x14ac:dyDescent="0.25">
      <c r="A354" s="9">
        <v>353</v>
      </c>
      <c r="B354" s="10"/>
      <c r="C354" s="10"/>
      <c r="D354" s="10" t="s">
        <v>2418</v>
      </c>
      <c r="E354" s="10" t="s">
        <v>115</v>
      </c>
      <c r="F354" s="10" t="s">
        <v>115</v>
      </c>
      <c r="G354" s="23" t="str">
        <f>CONCATENATE(TRIM(الجدول2[[#This Row],[الاسم الأول]])," ",TRIM(الجدول2[[#This Row],[اسم الأب]])," ",TRIM(الجدول2[[#This Row],[الكنية]]))</f>
        <v>بسمة محمد محمد</v>
      </c>
      <c r="H354" s="10"/>
      <c r="I354" s="11"/>
      <c r="J354" s="10" t="s">
        <v>58</v>
      </c>
      <c r="K354" s="10"/>
      <c r="L354" s="10"/>
      <c r="M354" s="10"/>
      <c r="N354" s="10"/>
      <c r="O354" s="12"/>
      <c r="P354" s="10"/>
      <c r="Q354" s="10"/>
      <c r="R354" s="11"/>
      <c r="S354" s="10"/>
      <c r="T354" s="10"/>
      <c r="U354" s="10"/>
      <c r="V354" s="10" t="s">
        <v>2286</v>
      </c>
      <c r="W354" s="10" t="s">
        <v>2287</v>
      </c>
      <c r="X354" s="10" t="s">
        <v>526</v>
      </c>
      <c r="Y354" s="10" t="s">
        <v>424</v>
      </c>
      <c r="Z354" s="10"/>
      <c r="AA354" s="10" t="s">
        <v>2560</v>
      </c>
      <c r="AB354" s="10"/>
      <c r="AC354" s="10" t="s">
        <v>73</v>
      </c>
      <c r="AD354" s="10" t="s">
        <v>74</v>
      </c>
      <c r="AE354" s="12"/>
      <c r="AF354" s="10"/>
      <c r="AG354" s="10"/>
      <c r="AH354" s="10" t="s">
        <v>124</v>
      </c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2"/>
      <c r="AZ354" s="23" t="s">
        <v>80</v>
      </c>
      <c r="BA354" s="10" t="s">
        <v>2453</v>
      </c>
      <c r="BB354" s="56" t="s">
        <v>2359</v>
      </c>
      <c r="BC354" s="10" t="s">
        <v>2446</v>
      </c>
      <c r="BD354" s="10"/>
      <c r="BE354" s="13"/>
      <c r="BF354" s="52"/>
    </row>
    <row r="355" spans="1:58" ht="23.4" hidden="1" x14ac:dyDescent="0.25">
      <c r="A355" s="9">
        <v>354</v>
      </c>
      <c r="B355" s="10"/>
      <c r="C355" s="10"/>
      <c r="D355" s="10" t="s">
        <v>1033</v>
      </c>
      <c r="E355" s="10"/>
      <c r="F355" s="10" t="s">
        <v>558</v>
      </c>
      <c r="G355" s="23" t="str">
        <f>CONCATENATE(TRIM(الجدول2[[#This Row],[الاسم الأول]])," ",TRIM(الجدول2[[#This Row],[اسم الأب]])," ",TRIM(الجدول2[[#This Row],[الكنية]]))</f>
        <v>سلمى  حسين</v>
      </c>
      <c r="H355" s="10"/>
      <c r="I355" s="11"/>
      <c r="J355" s="10" t="s">
        <v>58</v>
      </c>
      <c r="K355" s="10"/>
      <c r="L355" s="10"/>
      <c r="M355" s="10"/>
      <c r="N355" s="10"/>
      <c r="O355" s="12"/>
      <c r="P355" s="10"/>
      <c r="Q355" s="10"/>
      <c r="R355" s="11"/>
      <c r="S355" s="10"/>
      <c r="T355" s="10"/>
      <c r="U355" s="10"/>
      <c r="V355" s="10" t="s">
        <v>2286</v>
      </c>
      <c r="W355" s="10" t="s">
        <v>2287</v>
      </c>
      <c r="X355" s="10" t="s">
        <v>526</v>
      </c>
      <c r="Y355" s="10" t="s">
        <v>424</v>
      </c>
      <c r="Z355" s="10"/>
      <c r="AA355" s="10" t="s">
        <v>2560</v>
      </c>
      <c r="AB355" s="10"/>
      <c r="AC355" s="10" t="s">
        <v>73</v>
      </c>
      <c r="AD355" s="10" t="s">
        <v>74</v>
      </c>
      <c r="AE355" s="12"/>
      <c r="AF355" s="10"/>
      <c r="AG355" s="10"/>
      <c r="AH355" s="10" t="s">
        <v>124</v>
      </c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2"/>
      <c r="AZ355" s="23" t="s">
        <v>80</v>
      </c>
      <c r="BA355" s="10" t="s">
        <v>2453</v>
      </c>
      <c r="BB355" s="56" t="s">
        <v>2359</v>
      </c>
      <c r="BC355" s="10" t="s">
        <v>2446</v>
      </c>
      <c r="BD355" s="10"/>
      <c r="BE355" s="13"/>
      <c r="BF355" s="52"/>
    </row>
    <row r="356" spans="1:58" ht="23.4" hidden="1" x14ac:dyDescent="0.25">
      <c r="A356" s="9">
        <v>355</v>
      </c>
      <c r="B356" s="10"/>
      <c r="C356" s="10"/>
      <c r="D356" s="10" t="s">
        <v>2420</v>
      </c>
      <c r="E356" s="10" t="s">
        <v>2116</v>
      </c>
      <c r="F356" s="10" t="s">
        <v>411</v>
      </c>
      <c r="G356" s="23" t="str">
        <f>CONCATENATE(TRIM(الجدول2[[#This Row],[الاسم الأول]])," ",TRIM(الجدول2[[#This Row],[اسم الأب]])," ",TRIM(الجدول2[[#This Row],[الكنية]]))</f>
        <v>جنات وجيه سليمان</v>
      </c>
      <c r="H356" s="10"/>
      <c r="I356" s="11"/>
      <c r="J356" s="10" t="s">
        <v>58</v>
      </c>
      <c r="K356" s="10"/>
      <c r="L356" s="10"/>
      <c r="M356" s="10"/>
      <c r="N356" s="10"/>
      <c r="O356" s="12"/>
      <c r="P356" s="10"/>
      <c r="Q356" s="10"/>
      <c r="R356" s="11"/>
      <c r="S356" s="10"/>
      <c r="T356" s="10"/>
      <c r="U356" s="10"/>
      <c r="V356" s="10" t="s">
        <v>2286</v>
      </c>
      <c r="W356" s="10" t="s">
        <v>2287</v>
      </c>
      <c r="X356" s="10" t="s">
        <v>526</v>
      </c>
      <c r="Y356" s="10" t="s">
        <v>424</v>
      </c>
      <c r="Z356" s="10"/>
      <c r="AA356" s="10" t="s">
        <v>2560</v>
      </c>
      <c r="AB356" s="10"/>
      <c r="AC356" s="10" t="s">
        <v>73</v>
      </c>
      <c r="AD356" s="10" t="s">
        <v>74</v>
      </c>
      <c r="AE356" s="12"/>
      <c r="AF356" s="10"/>
      <c r="AG356" s="10"/>
      <c r="AH356" s="10" t="s">
        <v>124</v>
      </c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2"/>
      <c r="AZ356" s="23" t="s">
        <v>80</v>
      </c>
      <c r="BA356" s="10" t="s">
        <v>2453</v>
      </c>
      <c r="BB356" s="56" t="s">
        <v>2359</v>
      </c>
      <c r="BC356" s="10" t="s">
        <v>2446</v>
      </c>
      <c r="BD356" s="10"/>
      <c r="BE356" s="13"/>
      <c r="BF356" s="52"/>
    </row>
    <row r="357" spans="1:58" ht="23.4" hidden="1" x14ac:dyDescent="0.25">
      <c r="A357" s="9">
        <v>356</v>
      </c>
      <c r="B357" s="10"/>
      <c r="C357" s="10"/>
      <c r="D357" s="10" t="s">
        <v>2422</v>
      </c>
      <c r="E357" s="10"/>
      <c r="F357" s="10" t="s">
        <v>2419</v>
      </c>
      <c r="G357" s="23" t="str">
        <f>CONCATENATE(TRIM(الجدول2[[#This Row],[الاسم الأول]])," ",TRIM(الجدول2[[#This Row],[اسم الأب]])," ",TRIM(الجدول2[[#This Row],[الكنية]]))</f>
        <v>نجاة  الحارة</v>
      </c>
      <c r="H357" s="10"/>
      <c r="I357" s="11"/>
      <c r="J357" s="10" t="s">
        <v>58</v>
      </c>
      <c r="K357" s="10"/>
      <c r="L357" s="10"/>
      <c r="M357" s="10"/>
      <c r="N357" s="10"/>
      <c r="O357" s="12"/>
      <c r="P357" s="10"/>
      <c r="Q357" s="10"/>
      <c r="R357" s="11"/>
      <c r="S357" s="10"/>
      <c r="T357" s="10"/>
      <c r="U357" s="10"/>
      <c r="V357" s="10" t="s">
        <v>2286</v>
      </c>
      <c r="W357" s="10" t="s">
        <v>2287</v>
      </c>
      <c r="X357" s="10" t="s">
        <v>526</v>
      </c>
      <c r="Y357" s="10" t="s">
        <v>424</v>
      </c>
      <c r="Z357" s="10"/>
      <c r="AA357" s="10" t="s">
        <v>2560</v>
      </c>
      <c r="AB357" s="10"/>
      <c r="AC357" s="10" t="s">
        <v>73</v>
      </c>
      <c r="AD357" s="10" t="s">
        <v>74</v>
      </c>
      <c r="AE357" s="12"/>
      <c r="AF357" s="10"/>
      <c r="AG357" s="10"/>
      <c r="AH357" s="10" t="s">
        <v>124</v>
      </c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2"/>
      <c r="AZ357" s="23" t="s">
        <v>80</v>
      </c>
      <c r="BA357" s="10" t="s">
        <v>2453</v>
      </c>
      <c r="BB357" s="56" t="s">
        <v>2359</v>
      </c>
      <c r="BC357" s="10" t="s">
        <v>2446</v>
      </c>
      <c r="BD357" s="10"/>
      <c r="BE357" s="13"/>
      <c r="BF357" s="52"/>
    </row>
    <row r="358" spans="1:58" ht="23.4" hidden="1" x14ac:dyDescent="0.25">
      <c r="A358" s="9">
        <v>357</v>
      </c>
      <c r="B358" s="10"/>
      <c r="C358" s="10"/>
      <c r="D358" s="10" t="s">
        <v>1591</v>
      </c>
      <c r="E358" s="10" t="s">
        <v>475</v>
      </c>
      <c r="F358" s="10" t="s">
        <v>2421</v>
      </c>
      <c r="G358" s="23" t="str">
        <f>CONCATENATE(TRIM(الجدول2[[#This Row],[الاسم الأول]])," ",TRIM(الجدول2[[#This Row],[اسم الأب]])," ",TRIM(الجدول2[[#This Row],[الكنية]]))</f>
        <v>ماهر جابر قطوفي</v>
      </c>
      <c r="H358" s="10"/>
      <c r="I358" s="11"/>
      <c r="J358" s="10" t="s">
        <v>58</v>
      </c>
      <c r="K358" s="10"/>
      <c r="L358" s="10"/>
      <c r="M358" s="10"/>
      <c r="N358" s="10"/>
      <c r="O358" s="12"/>
      <c r="P358" s="10"/>
      <c r="Q358" s="10"/>
      <c r="R358" s="11"/>
      <c r="S358" s="10"/>
      <c r="T358" s="10"/>
      <c r="U358" s="10"/>
      <c r="V358" s="10" t="s">
        <v>2286</v>
      </c>
      <c r="W358" s="10" t="s">
        <v>2287</v>
      </c>
      <c r="X358" s="10" t="s">
        <v>526</v>
      </c>
      <c r="Y358" s="10" t="s">
        <v>424</v>
      </c>
      <c r="Z358" s="10"/>
      <c r="AA358" s="10" t="s">
        <v>2560</v>
      </c>
      <c r="AB358" s="10"/>
      <c r="AC358" s="10" t="s">
        <v>73</v>
      </c>
      <c r="AD358" s="10" t="s">
        <v>74</v>
      </c>
      <c r="AE358" s="12"/>
      <c r="AF358" s="10"/>
      <c r="AG358" s="10"/>
      <c r="AH358" s="10" t="s">
        <v>157</v>
      </c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2"/>
      <c r="AZ358" s="23" t="s">
        <v>80</v>
      </c>
      <c r="BA358" s="10" t="s">
        <v>2453</v>
      </c>
      <c r="BB358" s="56" t="s">
        <v>2359</v>
      </c>
      <c r="BC358" s="10" t="s">
        <v>2446</v>
      </c>
      <c r="BD358" s="10"/>
      <c r="BE358" s="13"/>
      <c r="BF358" s="52"/>
    </row>
    <row r="359" spans="1:58" ht="23.4" hidden="1" x14ac:dyDescent="0.25">
      <c r="A359" s="9">
        <v>358</v>
      </c>
      <c r="B359" s="10"/>
      <c r="C359" s="10"/>
      <c r="D359" s="10" t="s">
        <v>474</v>
      </c>
      <c r="E359" s="10"/>
      <c r="F359" s="10" t="s">
        <v>2423</v>
      </c>
      <c r="G359" s="23" t="str">
        <f>CONCATENATE(TRIM(الجدول2[[#This Row],[الاسم الأول]])," ",TRIM(الجدول2[[#This Row],[اسم الأب]])," ",TRIM(الجدول2[[#This Row],[الكنية]]))</f>
        <v>حسام  وسوف</v>
      </c>
      <c r="H359" s="10"/>
      <c r="I359" s="11"/>
      <c r="J359" s="10" t="s">
        <v>58</v>
      </c>
      <c r="K359" s="10"/>
      <c r="L359" s="10"/>
      <c r="M359" s="10"/>
      <c r="N359" s="10"/>
      <c r="O359" s="12"/>
      <c r="P359" s="10"/>
      <c r="Q359" s="10"/>
      <c r="R359" s="11"/>
      <c r="S359" s="10"/>
      <c r="T359" s="10"/>
      <c r="U359" s="10"/>
      <c r="V359" s="10" t="s">
        <v>2286</v>
      </c>
      <c r="W359" s="10" t="s">
        <v>2287</v>
      </c>
      <c r="X359" s="10" t="s">
        <v>526</v>
      </c>
      <c r="Y359" s="10" t="s">
        <v>214</v>
      </c>
      <c r="Z359" s="10"/>
      <c r="AA359" s="10" t="s">
        <v>2560</v>
      </c>
      <c r="AB359" s="10"/>
      <c r="AC359" s="10" t="s">
        <v>73</v>
      </c>
      <c r="AD359" s="10" t="s">
        <v>74</v>
      </c>
      <c r="AE359" s="12"/>
      <c r="AF359" s="10"/>
      <c r="AG359" s="10"/>
      <c r="AH359" s="10" t="s">
        <v>140</v>
      </c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2"/>
      <c r="AZ359" s="23" t="s">
        <v>80</v>
      </c>
      <c r="BA359" s="10" t="s">
        <v>2453</v>
      </c>
      <c r="BB359" s="56" t="s">
        <v>2359</v>
      </c>
      <c r="BC359" s="10" t="s">
        <v>2446</v>
      </c>
      <c r="BD359" s="10"/>
      <c r="BE359" s="13"/>
      <c r="BF359" s="52"/>
    </row>
    <row r="360" spans="1:58" ht="23.4" hidden="1" x14ac:dyDescent="0.25">
      <c r="A360" s="9">
        <v>359</v>
      </c>
      <c r="B360" s="10"/>
      <c r="C360" s="10"/>
      <c r="D360" s="10" t="s">
        <v>228</v>
      </c>
      <c r="E360" s="10"/>
      <c r="F360" s="10" t="s">
        <v>55</v>
      </c>
      <c r="G360" s="23" t="str">
        <f>CONCATENATE(TRIM(الجدول2[[#This Row],[الاسم الأول]])," ",TRIM(الجدول2[[#This Row],[اسم الأب]])," ",TRIM(الجدول2[[#This Row],[الكنية]]))</f>
        <v>محمود  حسن</v>
      </c>
      <c r="H360" s="10"/>
      <c r="I360" s="11"/>
      <c r="J360" s="10" t="s">
        <v>58</v>
      </c>
      <c r="K360" s="10"/>
      <c r="L360" s="10"/>
      <c r="M360" s="10"/>
      <c r="N360" s="10"/>
      <c r="O360" s="12"/>
      <c r="P360" s="10"/>
      <c r="Q360" s="10"/>
      <c r="R360" s="11"/>
      <c r="S360" s="10"/>
      <c r="T360" s="10"/>
      <c r="U360" s="10"/>
      <c r="V360" s="10" t="s">
        <v>2286</v>
      </c>
      <c r="W360" s="10" t="s">
        <v>2287</v>
      </c>
      <c r="X360" s="10" t="s">
        <v>526</v>
      </c>
      <c r="Y360" s="10" t="s">
        <v>2440</v>
      </c>
      <c r="Z360" s="10"/>
      <c r="AA360" s="10" t="s">
        <v>2560</v>
      </c>
      <c r="AB360" s="10"/>
      <c r="AC360" s="10" t="s">
        <v>155</v>
      </c>
      <c r="AD360" s="10" t="s">
        <v>74</v>
      </c>
      <c r="AE360" s="12"/>
      <c r="AF360" s="10"/>
      <c r="AG360" s="10"/>
      <c r="AH360" s="10" t="s">
        <v>140</v>
      </c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2"/>
      <c r="AZ360" s="23" t="s">
        <v>80</v>
      </c>
      <c r="BA360" s="10" t="s">
        <v>2453</v>
      </c>
      <c r="BB360" s="56" t="s">
        <v>2359</v>
      </c>
      <c r="BC360" s="10" t="s">
        <v>2446</v>
      </c>
      <c r="BD360" s="10"/>
      <c r="BE360" s="13"/>
      <c r="BF360" s="52"/>
    </row>
    <row r="361" spans="1:58" ht="23.4" hidden="1" x14ac:dyDescent="0.25">
      <c r="A361" s="9">
        <v>360</v>
      </c>
      <c r="B361" s="10"/>
      <c r="C361" s="10"/>
      <c r="D361" s="10" t="s">
        <v>55</v>
      </c>
      <c r="E361" s="10" t="s">
        <v>282</v>
      </c>
      <c r="F361" s="10" t="s">
        <v>2424</v>
      </c>
      <c r="G361" s="23" t="str">
        <f>CONCATENATE(TRIM(الجدول2[[#This Row],[الاسم الأول]])," ",TRIM(الجدول2[[#This Row],[اسم الأب]])," ",TRIM(الجدول2[[#This Row],[الكنية]]))</f>
        <v>حسن بديع الكردي</v>
      </c>
      <c r="H361" s="10"/>
      <c r="I361" s="11"/>
      <c r="J361" s="10" t="s">
        <v>58</v>
      </c>
      <c r="K361" s="10"/>
      <c r="L361" s="10"/>
      <c r="M361" s="10"/>
      <c r="N361" s="10"/>
      <c r="O361" s="12"/>
      <c r="P361" s="10"/>
      <c r="Q361" s="10"/>
      <c r="R361" s="11"/>
      <c r="S361" s="10"/>
      <c r="T361" s="10"/>
      <c r="U361" s="10"/>
      <c r="V361" s="10" t="s">
        <v>2286</v>
      </c>
      <c r="W361" s="10" t="s">
        <v>2287</v>
      </c>
      <c r="X361" s="10" t="s">
        <v>526</v>
      </c>
      <c r="Y361" s="10" t="s">
        <v>424</v>
      </c>
      <c r="Z361" s="10"/>
      <c r="AA361" s="10" t="s">
        <v>2560</v>
      </c>
      <c r="AB361" s="10"/>
      <c r="AC361" s="10" t="s">
        <v>73</v>
      </c>
      <c r="AD361" s="10" t="s">
        <v>74</v>
      </c>
      <c r="AE361" s="12"/>
      <c r="AF361" s="10"/>
      <c r="AG361" s="10"/>
      <c r="AH361" s="10" t="s">
        <v>157</v>
      </c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2"/>
      <c r="AZ361" s="23" t="s">
        <v>80</v>
      </c>
      <c r="BA361" s="10" t="s">
        <v>246</v>
      </c>
      <c r="BB361" s="56" t="s">
        <v>2359</v>
      </c>
      <c r="BC361" s="10" t="s">
        <v>2446</v>
      </c>
      <c r="BD361" s="10"/>
      <c r="BE361" s="13"/>
      <c r="BF361" s="52"/>
    </row>
    <row r="362" spans="1:58" ht="23.4" hidden="1" x14ac:dyDescent="0.25">
      <c r="A362" s="9">
        <v>361</v>
      </c>
      <c r="B362" s="10"/>
      <c r="C362" s="10"/>
      <c r="D362" s="10" t="s">
        <v>2212</v>
      </c>
      <c r="E362" s="10"/>
      <c r="F362" s="10" t="s">
        <v>228</v>
      </c>
      <c r="G362" s="23" t="str">
        <f>CONCATENATE(TRIM(الجدول2[[#This Row],[الاسم الأول]])," ",TRIM(الجدول2[[#This Row],[اسم الأب]])," ",TRIM(الجدول2[[#This Row],[الكنية]]))</f>
        <v>بسام  محمود</v>
      </c>
      <c r="H362" s="10"/>
      <c r="I362" s="11"/>
      <c r="J362" s="10" t="s">
        <v>58</v>
      </c>
      <c r="K362" s="10"/>
      <c r="L362" s="10"/>
      <c r="M362" s="10"/>
      <c r="N362" s="10"/>
      <c r="O362" s="12"/>
      <c r="P362" s="10"/>
      <c r="Q362" s="10"/>
      <c r="R362" s="11"/>
      <c r="S362" s="10"/>
      <c r="T362" s="10"/>
      <c r="U362" s="10"/>
      <c r="V362" s="10" t="s">
        <v>2460</v>
      </c>
      <c r="W362" s="10"/>
      <c r="X362" s="10" t="s">
        <v>2434</v>
      </c>
      <c r="Y362" s="10"/>
      <c r="Z362" s="10"/>
      <c r="AA362" s="10" t="s">
        <v>2560</v>
      </c>
      <c r="AB362" s="10"/>
      <c r="AC362" s="10" t="s">
        <v>73</v>
      </c>
      <c r="AD362" s="10" t="s">
        <v>74</v>
      </c>
      <c r="AE362" s="12"/>
      <c r="AF362" s="10"/>
      <c r="AG362" s="10"/>
      <c r="AH362" s="10" t="s">
        <v>2277</v>
      </c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2"/>
      <c r="AZ362" s="23" t="s">
        <v>80</v>
      </c>
      <c r="BA362" s="10" t="s">
        <v>210</v>
      </c>
      <c r="BB362" s="56" t="s">
        <v>2359</v>
      </c>
      <c r="BC362" s="10" t="s">
        <v>2446</v>
      </c>
      <c r="BD362" s="10"/>
      <c r="BE362" s="13"/>
      <c r="BF362" s="52"/>
    </row>
    <row r="363" spans="1:58" ht="23.4" hidden="1" x14ac:dyDescent="0.25">
      <c r="A363" s="9">
        <v>362</v>
      </c>
      <c r="B363" s="10"/>
      <c r="C363" s="10"/>
      <c r="D363" s="10" t="s">
        <v>800</v>
      </c>
      <c r="E363" s="10" t="s">
        <v>1769</v>
      </c>
      <c r="F363" s="10" t="s">
        <v>2425</v>
      </c>
      <c r="G363" s="23" t="str">
        <f>CONCATENATE(TRIM(الجدول2[[#This Row],[الاسم الأول]])," ",TRIM(الجدول2[[#This Row],[اسم الأب]])," ",TRIM(الجدول2[[#This Row],[الكنية]]))</f>
        <v>رشا وهيب فسخة</v>
      </c>
      <c r="H363" s="10"/>
      <c r="I363" s="11"/>
      <c r="J363" s="10" t="s">
        <v>58</v>
      </c>
      <c r="K363" s="10"/>
      <c r="L363" s="10"/>
      <c r="M363" s="10"/>
      <c r="N363" s="10"/>
      <c r="O363" s="12"/>
      <c r="P363" s="10"/>
      <c r="Q363" s="10"/>
      <c r="R363" s="11"/>
      <c r="S363" s="10"/>
      <c r="T363" s="10"/>
      <c r="U363" s="10"/>
      <c r="V363" s="10" t="s">
        <v>2286</v>
      </c>
      <c r="W363" s="10" t="s">
        <v>2287</v>
      </c>
      <c r="X363" s="10" t="s">
        <v>526</v>
      </c>
      <c r="Y363" s="10" t="s">
        <v>214</v>
      </c>
      <c r="Z363" s="10"/>
      <c r="AA363" s="10" t="s">
        <v>2560</v>
      </c>
      <c r="AB363" s="10"/>
      <c r="AC363" s="10" t="s">
        <v>73</v>
      </c>
      <c r="AD363" s="10" t="s">
        <v>74</v>
      </c>
      <c r="AE363" s="12"/>
      <c r="AF363" s="10"/>
      <c r="AG363" s="10"/>
      <c r="AH363" s="10" t="s">
        <v>2277</v>
      </c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2"/>
      <c r="AZ363" s="23" t="s">
        <v>80</v>
      </c>
      <c r="BA363" s="10" t="s">
        <v>94</v>
      </c>
      <c r="BB363" s="56" t="s">
        <v>2359</v>
      </c>
      <c r="BC363" s="10" t="s">
        <v>2446</v>
      </c>
      <c r="BD363" s="10"/>
      <c r="BE363" s="13"/>
      <c r="BF363" s="52"/>
    </row>
    <row r="364" spans="1:58" s="22" customFormat="1" ht="23.4" x14ac:dyDescent="0.25">
      <c r="A364" s="9">
        <v>363</v>
      </c>
      <c r="B364" s="18"/>
      <c r="C364" s="18"/>
      <c r="D364" s="18" t="s">
        <v>2426</v>
      </c>
      <c r="E364" s="18" t="s">
        <v>2427</v>
      </c>
      <c r="F364" s="18" t="s">
        <v>1088</v>
      </c>
      <c r="G364" s="23" t="str">
        <f>CONCATENATE(TRIM(الجدول2[[#This Row],[الاسم الأول]])," ",TRIM(الجدول2[[#This Row],[اسم الأب]])," ",TRIM(الجدول2[[#This Row],[الكنية]]))</f>
        <v>مدى اصف غانم</v>
      </c>
      <c r="H364" s="18"/>
      <c r="I364" s="19"/>
      <c r="J364" s="19" t="s">
        <v>58</v>
      </c>
      <c r="K364" s="18"/>
      <c r="L364" s="18"/>
      <c r="M364" s="18"/>
      <c r="N364" s="18"/>
      <c r="O364" s="20"/>
      <c r="P364" s="18"/>
      <c r="Q364" s="18"/>
      <c r="R364" s="19"/>
      <c r="S364" s="18"/>
      <c r="T364" s="18"/>
      <c r="U364" s="18"/>
      <c r="V364" s="18" t="s">
        <v>2441</v>
      </c>
      <c r="W364" s="18"/>
      <c r="X364" s="18"/>
      <c r="Y364" s="18"/>
      <c r="Z364" s="18"/>
      <c r="AA364" s="18" t="s">
        <v>2560</v>
      </c>
      <c r="AB364" s="18"/>
      <c r="AC364" s="18" t="s">
        <v>73</v>
      </c>
      <c r="AD364" s="18" t="s">
        <v>1573</v>
      </c>
      <c r="AE364" s="20"/>
      <c r="AF364" s="18"/>
      <c r="AG364" s="18"/>
      <c r="AH364" s="18" t="s">
        <v>2277</v>
      </c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20"/>
      <c r="AZ364" s="23" t="s">
        <v>80</v>
      </c>
      <c r="BA364" s="18" t="s">
        <v>210</v>
      </c>
      <c r="BB364" s="18"/>
      <c r="BC364" s="18" t="s">
        <v>2446</v>
      </c>
      <c r="BD364" s="18"/>
      <c r="BE364" s="21"/>
      <c r="BF364" s="52"/>
    </row>
    <row r="365" spans="1:58" s="22" customFormat="1" ht="23.4" hidden="1" x14ac:dyDescent="0.25">
      <c r="A365" s="17">
        <v>364</v>
      </c>
      <c r="B365" s="18"/>
      <c r="C365" s="18"/>
      <c r="D365" s="18" t="s">
        <v>1346</v>
      </c>
      <c r="E365" s="18" t="s">
        <v>2428</v>
      </c>
      <c r="F365" s="18" t="s">
        <v>583</v>
      </c>
      <c r="G365" s="42" t="str">
        <f>CONCATENATE(TRIM(الجدول2[[#This Row],[الاسم الأول]])," ",TRIM(الجدول2[[#This Row],[اسم الأب]])," ",TRIM(الجدول2[[#This Row],[الكنية]]))</f>
        <v>عواطف محمد ديب حيدر</v>
      </c>
      <c r="H365" s="18"/>
      <c r="I365" s="19"/>
      <c r="J365" s="19" t="s">
        <v>58</v>
      </c>
      <c r="K365" s="18"/>
      <c r="L365" s="18"/>
      <c r="M365" s="18"/>
      <c r="N365" s="18"/>
      <c r="O365" s="20"/>
      <c r="P365" s="18"/>
      <c r="Q365" s="18"/>
      <c r="R365" s="19"/>
      <c r="S365" s="18"/>
      <c r="T365" s="18"/>
      <c r="U365" s="18"/>
      <c r="V365" s="18" t="s">
        <v>2286</v>
      </c>
      <c r="W365" s="18" t="s">
        <v>2287</v>
      </c>
      <c r="X365" s="18" t="s">
        <v>2462</v>
      </c>
      <c r="Y365" s="18"/>
      <c r="Z365" s="18"/>
      <c r="AA365" s="18" t="s">
        <v>2457</v>
      </c>
      <c r="AB365" s="18"/>
      <c r="AC365" s="18" t="s">
        <v>73</v>
      </c>
      <c r="AD365" s="18" t="s">
        <v>2457</v>
      </c>
      <c r="AE365" s="20"/>
      <c r="AF365" s="18"/>
      <c r="AG365" s="18"/>
      <c r="AH365" s="18" t="s">
        <v>124</v>
      </c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20"/>
      <c r="AZ365" s="42" t="s">
        <v>80</v>
      </c>
      <c r="BA365" s="18" t="s">
        <v>2454</v>
      </c>
      <c r="BB365" s="18" t="s">
        <v>2358</v>
      </c>
      <c r="BC365" s="18" t="s">
        <v>2446</v>
      </c>
      <c r="BD365" s="18"/>
      <c r="BE365" s="21"/>
      <c r="BF365" s="52">
        <v>1243000</v>
      </c>
    </row>
    <row r="366" spans="1:58" s="22" customFormat="1" ht="23.4" hidden="1" x14ac:dyDescent="0.25">
      <c r="A366" s="17">
        <v>365</v>
      </c>
      <c r="B366" s="18"/>
      <c r="C366" s="18"/>
      <c r="D366" s="18" t="s">
        <v>115</v>
      </c>
      <c r="E366" s="18" t="s">
        <v>428</v>
      </c>
      <c r="F366" s="18" t="s">
        <v>131</v>
      </c>
      <c r="G366" s="42" t="str">
        <f>CONCATENATE(TRIM(الجدول2[[#This Row],[الاسم الأول]])," ",TRIM(الجدول2[[#This Row],[اسم الأب]])," ",TRIM(الجدول2[[#This Row],[الكنية]]))</f>
        <v>محمد بهجت علي</v>
      </c>
      <c r="H366" s="18"/>
      <c r="I366" s="19"/>
      <c r="J366" s="19" t="s">
        <v>58</v>
      </c>
      <c r="K366" s="18"/>
      <c r="L366" s="18"/>
      <c r="M366" s="18"/>
      <c r="N366" s="18"/>
      <c r="O366" s="20"/>
      <c r="P366" s="18"/>
      <c r="Q366" s="18"/>
      <c r="R366" s="19"/>
      <c r="S366" s="18"/>
      <c r="T366" s="18"/>
      <c r="U366" s="18"/>
      <c r="V366" s="18" t="s">
        <v>2442</v>
      </c>
      <c r="W366" s="18"/>
      <c r="X366" s="18"/>
      <c r="Y366" s="18"/>
      <c r="Z366" s="18"/>
      <c r="AA366" s="18" t="s">
        <v>2457</v>
      </c>
      <c r="AB366" s="18"/>
      <c r="AC366" s="18" t="s">
        <v>73</v>
      </c>
      <c r="AD366" s="18" t="s">
        <v>2457</v>
      </c>
      <c r="AE366" s="20"/>
      <c r="AF366" s="18"/>
      <c r="AG366" s="18"/>
      <c r="AH366" s="18" t="s">
        <v>2277</v>
      </c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20"/>
      <c r="AZ366" s="42" t="s">
        <v>80</v>
      </c>
      <c r="BA366" s="18" t="s">
        <v>501</v>
      </c>
      <c r="BB366" s="56" t="s">
        <v>2359</v>
      </c>
      <c r="BC366" s="18" t="s">
        <v>2446</v>
      </c>
      <c r="BD366" s="18"/>
      <c r="BE366" s="21"/>
      <c r="BF366" s="52">
        <v>1082466</v>
      </c>
    </row>
    <row r="367" spans="1:58" s="22" customFormat="1" ht="23.4" hidden="1" x14ac:dyDescent="0.25">
      <c r="A367" s="17">
        <v>366</v>
      </c>
      <c r="B367" s="18"/>
      <c r="C367" s="18"/>
      <c r="D367" s="18" t="s">
        <v>2430</v>
      </c>
      <c r="E367" s="18" t="s">
        <v>86</v>
      </c>
      <c r="F367" s="18" t="s">
        <v>86</v>
      </c>
      <c r="G367" s="42" t="str">
        <f>CONCATENATE(TRIM(الجدول2[[#This Row],[الاسم الأول]])," ",TRIM(الجدول2[[#This Row],[اسم الأب]])," ",TRIM(الجدول2[[#This Row],[الكنية]]))</f>
        <v>نادين احمد احمد</v>
      </c>
      <c r="H367" s="18"/>
      <c r="I367" s="19"/>
      <c r="J367" s="19" t="s">
        <v>58</v>
      </c>
      <c r="K367" s="18"/>
      <c r="L367" s="18"/>
      <c r="M367" s="18"/>
      <c r="N367" s="18"/>
      <c r="O367" s="20"/>
      <c r="P367" s="18"/>
      <c r="Q367" s="18"/>
      <c r="R367" s="19"/>
      <c r="S367" s="18"/>
      <c r="T367" s="18"/>
      <c r="U367" s="18"/>
      <c r="V367" s="18" t="s">
        <v>2286</v>
      </c>
      <c r="W367" s="18" t="s">
        <v>2287</v>
      </c>
      <c r="X367" s="18" t="s">
        <v>2463</v>
      </c>
      <c r="Y367" s="18"/>
      <c r="Z367" s="18"/>
      <c r="AA367" s="18" t="s">
        <v>1636</v>
      </c>
      <c r="AB367" s="18"/>
      <c r="AC367" s="18"/>
      <c r="AD367" s="18" t="s">
        <v>1636</v>
      </c>
      <c r="AE367" s="20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20"/>
      <c r="AZ367" s="42" t="s">
        <v>80</v>
      </c>
      <c r="BA367" s="18" t="s">
        <v>2455</v>
      </c>
      <c r="BB367" s="18" t="s">
        <v>2358</v>
      </c>
      <c r="BC367" s="18" t="s">
        <v>2446</v>
      </c>
      <c r="BD367" s="18"/>
      <c r="BE367" s="21"/>
      <c r="BF367" s="52">
        <v>1243000</v>
      </c>
    </row>
    <row r="368" spans="1:58" s="31" customFormat="1" ht="23.4" hidden="1" x14ac:dyDescent="0.25">
      <c r="A368" s="9">
        <v>367</v>
      </c>
      <c r="B368" s="27"/>
      <c r="C368" s="27"/>
      <c r="D368" s="27" t="s">
        <v>295</v>
      </c>
      <c r="E368" s="27"/>
      <c r="F368" s="27" t="s">
        <v>2429</v>
      </c>
      <c r="G368" s="23" t="str">
        <f>CONCATENATE(TRIM(الجدول2[[#This Row],[الاسم الأول]])," ",TRIM(الجدول2[[#This Row],[اسم الأب]])," ",TRIM(الجدول2[[#This Row],[الكنية]]))</f>
        <v>ايمن  السيد</v>
      </c>
      <c r="H368" s="27"/>
      <c r="I368" s="28"/>
      <c r="J368" s="28" t="s">
        <v>58</v>
      </c>
      <c r="K368" s="27"/>
      <c r="L368" s="27"/>
      <c r="M368" s="27"/>
      <c r="N368" s="27"/>
      <c r="O368" s="29"/>
      <c r="P368" s="27"/>
      <c r="Q368" s="27"/>
      <c r="R368" s="28"/>
      <c r="S368" s="27"/>
      <c r="T368" s="27"/>
      <c r="U368" s="27"/>
      <c r="V368" s="27" t="s">
        <v>2286</v>
      </c>
      <c r="W368" s="27" t="s">
        <v>2287</v>
      </c>
      <c r="X368" s="27" t="s">
        <v>2462</v>
      </c>
      <c r="Y368" s="27" t="s">
        <v>2443</v>
      </c>
      <c r="Z368" s="27"/>
      <c r="AA368" s="27" t="s">
        <v>1636</v>
      </c>
      <c r="AB368" s="27"/>
      <c r="AC368" s="27"/>
      <c r="AD368" s="27" t="s">
        <v>1636</v>
      </c>
      <c r="AE368" s="29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9"/>
      <c r="AZ368" s="23" t="s">
        <v>80</v>
      </c>
      <c r="BA368" s="27" t="s">
        <v>214</v>
      </c>
      <c r="BB368" s="27" t="s">
        <v>2358</v>
      </c>
      <c r="BC368" s="27" t="s">
        <v>2446</v>
      </c>
      <c r="BD368" s="27"/>
      <c r="BE368" s="30"/>
      <c r="BF368" s="52"/>
    </row>
    <row r="369" spans="1:58" s="22" customFormat="1" ht="23.4" hidden="1" x14ac:dyDescent="0.25">
      <c r="A369" s="17">
        <v>368</v>
      </c>
      <c r="B369" s="42"/>
      <c r="C369" s="42"/>
      <c r="D369" s="42" t="s">
        <v>2431</v>
      </c>
      <c r="E369" s="42" t="s">
        <v>115</v>
      </c>
      <c r="F369" s="42" t="s">
        <v>2432</v>
      </c>
      <c r="G369" s="42" t="str">
        <f>CONCATENATE(TRIM(الجدول2[[#This Row],[الاسم الأول]])," ",TRIM(الجدول2[[#This Row],[اسم الأب]])," ",TRIM(الجدول2[[#This Row],[الكنية]]))</f>
        <v>معد محمد هايبل</v>
      </c>
      <c r="H369" s="42"/>
      <c r="I369" s="43"/>
      <c r="J369" s="19" t="s">
        <v>58</v>
      </c>
      <c r="K369" s="42"/>
      <c r="L369" s="42"/>
      <c r="M369" s="42"/>
      <c r="N369" s="42"/>
      <c r="O369" s="44"/>
      <c r="P369" s="42"/>
      <c r="Q369" s="42"/>
      <c r="R369" s="43"/>
      <c r="S369" s="42"/>
      <c r="T369" s="42"/>
      <c r="U369" s="42"/>
      <c r="V369" s="18" t="s">
        <v>2286</v>
      </c>
      <c r="W369" s="18" t="s">
        <v>2287</v>
      </c>
      <c r="X369" s="18" t="s">
        <v>2463</v>
      </c>
      <c r="Y369" s="42" t="s">
        <v>2444</v>
      </c>
      <c r="Z369" s="42"/>
      <c r="AA369" s="18" t="s">
        <v>1636</v>
      </c>
      <c r="AB369" s="42"/>
      <c r="AC369" s="42"/>
      <c r="AD369" s="18" t="s">
        <v>1636</v>
      </c>
      <c r="AE369" s="44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4"/>
      <c r="AZ369" s="42" t="s">
        <v>80</v>
      </c>
      <c r="BA369" s="42" t="s">
        <v>2456</v>
      </c>
      <c r="BB369" s="42" t="s">
        <v>2358</v>
      </c>
      <c r="BC369" s="42" t="s">
        <v>2446</v>
      </c>
      <c r="BD369" s="42"/>
      <c r="BE369" s="45"/>
      <c r="BF369" s="52">
        <v>1115361</v>
      </c>
    </row>
    <row r="370" spans="1:58" s="51" customFormat="1" ht="23.4" hidden="1" x14ac:dyDescent="0.25">
      <c r="A370" s="64">
        <v>369</v>
      </c>
      <c r="B370" s="33">
        <v>44223</v>
      </c>
      <c r="C370" s="33">
        <v>1171679</v>
      </c>
      <c r="D370" s="33" t="s">
        <v>495</v>
      </c>
      <c r="E370" s="33" t="s">
        <v>826</v>
      </c>
      <c r="F370" s="33" t="s">
        <v>55</v>
      </c>
      <c r="G370" s="33" t="str">
        <f>CONCATENATE(TRIM(الجدول2[[#This Row],[الاسم الأول]])," ",TRIM(الجدول2[[#This Row],[اسم الأب]])," ",TRIM(الجدول2[[#This Row],[الكنية]]))</f>
        <v>حسان نديم حسن</v>
      </c>
      <c r="H370" s="14" t="s">
        <v>2464</v>
      </c>
      <c r="I370" s="15">
        <v>10160104688</v>
      </c>
      <c r="J370" s="15" t="s">
        <v>58</v>
      </c>
      <c r="K370" s="14" t="s">
        <v>59</v>
      </c>
      <c r="L370" s="14" t="s">
        <v>59</v>
      </c>
      <c r="M370" s="14" t="s">
        <v>60</v>
      </c>
      <c r="N370" s="14" t="s">
        <v>59</v>
      </c>
      <c r="O370" s="16">
        <v>27978</v>
      </c>
      <c r="P370" s="16" t="s">
        <v>1993</v>
      </c>
      <c r="Q370" s="14" t="s">
        <v>63</v>
      </c>
      <c r="R370" s="15" t="s">
        <v>2465</v>
      </c>
      <c r="S370" s="34" t="s">
        <v>109</v>
      </c>
      <c r="T370" s="36">
        <v>1</v>
      </c>
      <c r="U370" s="36">
        <v>3</v>
      </c>
      <c r="V370" s="36" t="s">
        <v>66</v>
      </c>
      <c r="W370" s="36" t="s">
        <v>67</v>
      </c>
      <c r="X370" s="36" t="s">
        <v>68</v>
      </c>
      <c r="Y370" s="36" t="s">
        <v>2337</v>
      </c>
      <c r="Z370" s="36"/>
      <c r="AA370" s="36"/>
      <c r="AB370" s="36" t="s">
        <v>2532</v>
      </c>
      <c r="AC370" s="36" t="s">
        <v>73</v>
      </c>
      <c r="AD370" s="36" t="s">
        <v>2466</v>
      </c>
      <c r="AE370" s="37">
        <v>36558</v>
      </c>
      <c r="AF370" s="36" t="s">
        <v>75</v>
      </c>
      <c r="AG370" s="36"/>
      <c r="AH370" s="36" t="s">
        <v>2467</v>
      </c>
      <c r="AI370" s="36" t="s">
        <v>76</v>
      </c>
      <c r="AJ370" s="36" t="s">
        <v>798</v>
      </c>
      <c r="AK370" s="36" t="s">
        <v>59</v>
      </c>
      <c r="AL370" s="36" t="s">
        <v>59</v>
      </c>
      <c r="AM370" s="36" t="s">
        <v>99</v>
      </c>
      <c r="AN370" s="36" t="s">
        <v>80</v>
      </c>
      <c r="AO370" s="36"/>
      <c r="AP370" s="36"/>
      <c r="AQ370" s="36" t="s">
        <v>81</v>
      </c>
      <c r="AR370" s="36"/>
      <c r="AS370" s="36" t="s">
        <v>368</v>
      </c>
      <c r="AT370" s="36" t="s">
        <v>76</v>
      </c>
      <c r="AU370" s="36" t="s">
        <v>83</v>
      </c>
      <c r="AV370" s="36" t="s">
        <v>425</v>
      </c>
      <c r="AW370" s="36" t="s">
        <v>2468</v>
      </c>
      <c r="AX370" s="36" t="s">
        <v>277</v>
      </c>
      <c r="AY370" s="37">
        <v>34839</v>
      </c>
      <c r="AZ370" s="36" t="s">
        <v>80</v>
      </c>
      <c r="BA370" s="33"/>
      <c r="BB370" s="33" t="s">
        <v>2533</v>
      </c>
      <c r="BC370" s="33" t="s">
        <v>2533</v>
      </c>
      <c r="BD370" s="33"/>
      <c r="BE370" s="38"/>
      <c r="BF370" s="65">
        <v>0</v>
      </c>
    </row>
    <row r="371" spans="1:58" s="51" customFormat="1" ht="23.4" hidden="1" x14ac:dyDescent="0.25">
      <c r="A371" s="64">
        <v>370</v>
      </c>
      <c r="B371" s="33">
        <v>44258</v>
      </c>
      <c r="C371" s="33">
        <v>657479</v>
      </c>
      <c r="D371" s="33" t="s">
        <v>55</v>
      </c>
      <c r="E371" s="33" t="s">
        <v>115</v>
      </c>
      <c r="F371" s="33" t="s">
        <v>1665</v>
      </c>
      <c r="G371" s="33" t="str">
        <f>CONCATENATE(TRIM(الجدول2[[#This Row],[الاسم الأول]])," ",TRIM(الجدول2[[#This Row],[اسم الأب]])," ",TRIM(الجدول2[[#This Row],[الكنية]]))</f>
        <v>حسن محمد معلا</v>
      </c>
      <c r="H371" s="14" t="s">
        <v>2469</v>
      </c>
      <c r="I371" s="15" t="s">
        <v>2470</v>
      </c>
      <c r="J371" s="15" t="s">
        <v>58</v>
      </c>
      <c r="K371" s="14" t="s">
        <v>59</v>
      </c>
      <c r="L371" s="14" t="s">
        <v>59</v>
      </c>
      <c r="M371" s="14" t="s">
        <v>60</v>
      </c>
      <c r="N371" s="14" t="s">
        <v>395</v>
      </c>
      <c r="O371" s="16">
        <v>32816</v>
      </c>
      <c r="P371" s="16" t="s">
        <v>2471</v>
      </c>
      <c r="Q371" s="14" t="s">
        <v>63</v>
      </c>
      <c r="R371" s="15"/>
      <c r="S371" s="34" t="s">
        <v>109</v>
      </c>
      <c r="T371" s="36">
        <v>1</v>
      </c>
      <c r="U371" s="36">
        <v>4</v>
      </c>
      <c r="V371" s="36" t="s">
        <v>66</v>
      </c>
      <c r="W371" s="36" t="s">
        <v>67</v>
      </c>
      <c r="X371" s="36" t="s">
        <v>68</v>
      </c>
      <c r="Y371" s="36" t="s">
        <v>210</v>
      </c>
      <c r="Z371" s="36"/>
      <c r="AA371" s="36"/>
      <c r="AB371" s="36" t="s">
        <v>2472</v>
      </c>
      <c r="AC371" s="36" t="s">
        <v>73</v>
      </c>
      <c r="AD371" s="36" t="s">
        <v>1448</v>
      </c>
      <c r="AE371" s="37">
        <v>32816</v>
      </c>
      <c r="AF371" s="36" t="s">
        <v>123</v>
      </c>
      <c r="AG371" s="36"/>
      <c r="AH371" s="36" t="s">
        <v>2467</v>
      </c>
      <c r="AI371" s="36" t="s">
        <v>327</v>
      </c>
      <c r="AJ371" s="36" t="s">
        <v>686</v>
      </c>
      <c r="AK371" s="36" t="s">
        <v>59</v>
      </c>
      <c r="AL371" s="36" t="s">
        <v>59</v>
      </c>
      <c r="AM371" s="36" t="s">
        <v>99</v>
      </c>
      <c r="AN371" s="36" t="s">
        <v>83</v>
      </c>
      <c r="AO371" s="36" t="s">
        <v>2473</v>
      </c>
      <c r="AP371" s="36" t="s">
        <v>342</v>
      </c>
      <c r="AQ371" s="36" t="s">
        <v>81</v>
      </c>
      <c r="AR371" s="36"/>
      <c r="AS371" s="36"/>
      <c r="AT371" s="36" t="s">
        <v>327</v>
      </c>
      <c r="AU371" s="36" t="s">
        <v>83</v>
      </c>
      <c r="AV371" s="36" t="s">
        <v>61</v>
      </c>
      <c r="AW371" s="36" t="s">
        <v>711</v>
      </c>
      <c r="AX371" s="36" t="s">
        <v>686</v>
      </c>
      <c r="AY371" s="37">
        <v>31959</v>
      </c>
      <c r="AZ371" s="36" t="s">
        <v>80</v>
      </c>
      <c r="BA371" s="33"/>
      <c r="BB371" s="33" t="s">
        <v>2533</v>
      </c>
      <c r="BC371" s="33" t="s">
        <v>2533</v>
      </c>
      <c r="BD371" s="33"/>
      <c r="BE371" s="38"/>
      <c r="BF371" s="65">
        <v>0</v>
      </c>
    </row>
    <row r="372" spans="1:58" s="51" customFormat="1" ht="23.4" hidden="1" x14ac:dyDescent="0.25">
      <c r="A372" s="64">
        <v>371</v>
      </c>
      <c r="B372" s="33">
        <v>2572</v>
      </c>
      <c r="C372" s="33"/>
      <c r="D372" s="33" t="s">
        <v>567</v>
      </c>
      <c r="E372" s="33" t="s">
        <v>1430</v>
      </c>
      <c r="F372" s="33" t="s">
        <v>81</v>
      </c>
      <c r="G372" s="33" t="str">
        <f>CONCATENATE(TRIM(الجدول2[[#This Row],[الاسم الأول]])," ",TRIM(الجدول2[[#This Row],[اسم الأب]])," ",TRIM(الجدول2[[#This Row],[الكنية]]))</f>
        <v>حلا عادل سليم</v>
      </c>
      <c r="H372" s="14" t="s">
        <v>2474</v>
      </c>
      <c r="I372" s="15" t="s">
        <v>2475</v>
      </c>
      <c r="J372" s="15" t="s">
        <v>58</v>
      </c>
      <c r="K372" s="14" t="s">
        <v>59</v>
      </c>
      <c r="L372" s="14" t="s">
        <v>59</v>
      </c>
      <c r="M372" s="14" t="s">
        <v>60</v>
      </c>
      <c r="N372" s="14" t="s">
        <v>59</v>
      </c>
      <c r="O372" s="16">
        <v>32264</v>
      </c>
      <c r="P372" s="16" t="s">
        <v>2476</v>
      </c>
      <c r="Q372" s="14" t="s">
        <v>179</v>
      </c>
      <c r="R372" s="15"/>
      <c r="S372" s="34" t="s">
        <v>109</v>
      </c>
      <c r="T372" s="36"/>
      <c r="U372" s="36">
        <v>3</v>
      </c>
      <c r="V372" s="36" t="s">
        <v>66</v>
      </c>
      <c r="W372" s="36" t="s">
        <v>67</v>
      </c>
      <c r="X372" s="36" t="s">
        <v>68</v>
      </c>
      <c r="Y372" s="36" t="s">
        <v>210</v>
      </c>
      <c r="Z372" s="36"/>
      <c r="AA372" s="36"/>
      <c r="AB372" s="36" t="s">
        <v>289</v>
      </c>
      <c r="AC372" s="36" t="s">
        <v>73</v>
      </c>
      <c r="AD372" s="36" t="s">
        <v>2466</v>
      </c>
      <c r="AE372" s="37">
        <v>41616</v>
      </c>
      <c r="AF372" s="36" t="s">
        <v>123</v>
      </c>
      <c r="AG372" s="36"/>
      <c r="AH372" s="36" t="s">
        <v>124</v>
      </c>
      <c r="AI372" s="36" t="s">
        <v>182</v>
      </c>
      <c r="AJ372" s="36" t="s">
        <v>1030</v>
      </c>
      <c r="AK372" s="36" t="s">
        <v>59</v>
      </c>
      <c r="AL372" s="36" t="s">
        <v>59</v>
      </c>
      <c r="AM372" s="36" t="s">
        <v>99</v>
      </c>
      <c r="AN372" s="36" t="s">
        <v>80</v>
      </c>
      <c r="AO372" s="36"/>
      <c r="AP372" s="36"/>
      <c r="AQ372" s="36" t="s">
        <v>81</v>
      </c>
      <c r="AR372" s="36"/>
      <c r="AS372" s="36" t="s">
        <v>82</v>
      </c>
      <c r="AT372" s="36" t="s">
        <v>182</v>
      </c>
      <c r="AU372" s="36" t="s">
        <v>80</v>
      </c>
      <c r="AV372" s="36" t="s">
        <v>184</v>
      </c>
      <c r="AW372" s="36" t="s">
        <v>182</v>
      </c>
      <c r="AX372" s="36" t="s">
        <v>595</v>
      </c>
      <c r="AY372" s="37">
        <v>38179</v>
      </c>
      <c r="AZ372" s="36" t="s">
        <v>80</v>
      </c>
      <c r="BA372" s="33"/>
      <c r="BB372" s="33" t="s">
        <v>2533</v>
      </c>
      <c r="BC372" s="33" t="s">
        <v>2533</v>
      </c>
      <c r="BD372" s="33"/>
      <c r="BE372" s="38"/>
      <c r="BF372" s="65">
        <v>0</v>
      </c>
    </row>
    <row r="373" spans="1:58" s="51" customFormat="1" ht="23.4" hidden="1" x14ac:dyDescent="0.25">
      <c r="A373" s="64">
        <v>372</v>
      </c>
      <c r="B373" s="33">
        <v>3363</v>
      </c>
      <c r="C373" s="33">
        <v>1640211</v>
      </c>
      <c r="D373" s="33" t="s">
        <v>2477</v>
      </c>
      <c r="E373" s="33" t="s">
        <v>228</v>
      </c>
      <c r="F373" s="33" t="s">
        <v>2478</v>
      </c>
      <c r="G373" s="33" t="str">
        <f>CONCATENATE(TRIM(الجدول2[[#This Row],[الاسم الأول]])," ",TRIM(الجدول2[[#This Row],[اسم الأب]])," ",TRIM(الجدول2[[#This Row],[الكنية]]))</f>
        <v>رأفت محمود منصورة</v>
      </c>
      <c r="H373" s="14" t="s">
        <v>2479</v>
      </c>
      <c r="I373" s="15" t="s">
        <v>2480</v>
      </c>
      <c r="J373" s="15" t="s">
        <v>58</v>
      </c>
      <c r="K373" s="14" t="s">
        <v>59</v>
      </c>
      <c r="L373" s="14" t="s">
        <v>59</v>
      </c>
      <c r="M373" s="14" t="s">
        <v>60</v>
      </c>
      <c r="N373" s="14" t="s">
        <v>2481</v>
      </c>
      <c r="O373" s="16">
        <v>30904</v>
      </c>
      <c r="P373" s="16" t="s">
        <v>2482</v>
      </c>
      <c r="Q373" s="14" t="s">
        <v>63</v>
      </c>
      <c r="R373" s="15"/>
      <c r="S373" s="34" t="s">
        <v>65</v>
      </c>
      <c r="T373" s="36"/>
      <c r="U373" s="36"/>
      <c r="V373" s="36" t="s">
        <v>66</v>
      </c>
      <c r="W373" s="36" t="s">
        <v>67</v>
      </c>
      <c r="X373" s="36" t="s">
        <v>68</v>
      </c>
      <c r="Y373" s="36" t="s">
        <v>152</v>
      </c>
      <c r="Z373" s="36"/>
      <c r="AA373" s="36"/>
      <c r="AB373" s="36" t="s">
        <v>2483</v>
      </c>
      <c r="AC373" s="36" t="s">
        <v>73</v>
      </c>
      <c r="AD373" s="36" t="s">
        <v>2466</v>
      </c>
      <c r="AE373" s="37">
        <v>42191</v>
      </c>
      <c r="AF373" s="36" t="s">
        <v>123</v>
      </c>
      <c r="AG373" s="36"/>
      <c r="AH373" s="36" t="s">
        <v>140</v>
      </c>
      <c r="AI373" s="36" t="s">
        <v>250</v>
      </c>
      <c r="AJ373" s="36"/>
      <c r="AK373" s="36" t="s">
        <v>59</v>
      </c>
      <c r="AL373" s="36" t="s">
        <v>59</v>
      </c>
      <c r="AM373" s="36" t="s">
        <v>99</v>
      </c>
      <c r="AN373" s="36" t="s">
        <v>80</v>
      </c>
      <c r="AO373" s="36"/>
      <c r="AP373" s="36"/>
      <c r="AQ373" s="36" t="s">
        <v>81</v>
      </c>
      <c r="AR373" s="36"/>
      <c r="AS373" s="36" t="s">
        <v>173</v>
      </c>
      <c r="AT373" s="36" t="s">
        <v>250</v>
      </c>
      <c r="AU373" s="36"/>
      <c r="AV373" s="36"/>
      <c r="AW373" s="36"/>
      <c r="AX373" s="36"/>
      <c r="AY373" s="37"/>
      <c r="AZ373" s="36" t="s">
        <v>80</v>
      </c>
      <c r="BA373" s="33"/>
      <c r="BB373" s="33" t="s">
        <v>2533</v>
      </c>
      <c r="BC373" s="33" t="s">
        <v>2533</v>
      </c>
      <c r="BD373" s="33"/>
      <c r="BE373" s="38"/>
      <c r="BF373" s="65">
        <v>0</v>
      </c>
    </row>
    <row r="374" spans="1:58" s="51" customFormat="1" ht="23.4" hidden="1" x14ac:dyDescent="0.25">
      <c r="A374" s="64">
        <v>373</v>
      </c>
      <c r="B374" s="33">
        <v>4394</v>
      </c>
      <c r="C374" s="33"/>
      <c r="D374" s="33" t="s">
        <v>597</v>
      </c>
      <c r="E374" s="33" t="s">
        <v>507</v>
      </c>
      <c r="F374" s="33" t="s">
        <v>515</v>
      </c>
      <c r="G374" s="33" t="str">
        <f>CONCATENATE(TRIM(الجدول2[[#This Row],[الاسم الأول]])," ",TRIM(الجدول2[[#This Row],[اسم الأب]])," ",TRIM(الجدول2[[#This Row],[الكنية]]))</f>
        <v>سمير خليل حمود</v>
      </c>
      <c r="H374" s="14" t="s">
        <v>2484</v>
      </c>
      <c r="I374" s="15" t="s">
        <v>2485</v>
      </c>
      <c r="J374" s="15" t="s">
        <v>58</v>
      </c>
      <c r="K374" s="14" t="s">
        <v>59</v>
      </c>
      <c r="L374" s="14" t="s">
        <v>59</v>
      </c>
      <c r="M374" s="14" t="s">
        <v>60</v>
      </c>
      <c r="N374" s="14" t="s">
        <v>2486</v>
      </c>
      <c r="O374" s="16">
        <v>29679</v>
      </c>
      <c r="P374" s="16" t="s">
        <v>2487</v>
      </c>
      <c r="Q374" s="14" t="s">
        <v>63</v>
      </c>
      <c r="R374" s="15"/>
      <c r="S374" s="34" t="s">
        <v>65</v>
      </c>
      <c r="T374" s="36"/>
      <c r="U374" s="36"/>
      <c r="V374" s="36" t="s">
        <v>66</v>
      </c>
      <c r="W374" s="36" t="s">
        <v>67</v>
      </c>
      <c r="X374" s="36" t="s">
        <v>68</v>
      </c>
      <c r="Y374" s="36" t="s">
        <v>152</v>
      </c>
      <c r="Z374" s="36"/>
      <c r="AA374" s="36"/>
      <c r="AB374" s="36" t="s">
        <v>249</v>
      </c>
      <c r="AC374" s="36" t="s">
        <v>73</v>
      </c>
      <c r="AD374" s="36" t="s">
        <v>1448</v>
      </c>
      <c r="AE374" s="37">
        <v>45059</v>
      </c>
      <c r="AF374" s="36" t="s">
        <v>139</v>
      </c>
      <c r="AG374" s="36"/>
      <c r="AH374" s="36" t="s">
        <v>140</v>
      </c>
      <c r="AI374" s="36" t="s">
        <v>250</v>
      </c>
      <c r="AJ374" s="36"/>
      <c r="AK374" s="36" t="s">
        <v>59</v>
      </c>
      <c r="AL374" s="36" t="s">
        <v>59</v>
      </c>
      <c r="AM374" s="36" t="s">
        <v>99</v>
      </c>
      <c r="AN374" s="36" t="s">
        <v>80</v>
      </c>
      <c r="AO374" s="36"/>
      <c r="AP374" s="36"/>
      <c r="AQ374" s="36" t="s">
        <v>81</v>
      </c>
      <c r="AR374" s="36"/>
      <c r="AS374" s="36" t="s">
        <v>173</v>
      </c>
      <c r="AT374" s="36" t="s">
        <v>250</v>
      </c>
      <c r="AU374" s="36"/>
      <c r="AV374" s="36"/>
      <c r="AW374" s="36"/>
      <c r="AX374" s="36"/>
      <c r="AY374" s="37"/>
      <c r="AZ374" s="36" t="s">
        <v>80</v>
      </c>
      <c r="BA374" s="33"/>
      <c r="BB374" s="33" t="s">
        <v>2533</v>
      </c>
      <c r="BC374" s="33" t="s">
        <v>2533</v>
      </c>
      <c r="BD374" s="33"/>
      <c r="BE374" s="38"/>
      <c r="BF374" s="65">
        <v>0</v>
      </c>
    </row>
    <row r="375" spans="1:58" s="51" customFormat="1" ht="23.4" hidden="1" x14ac:dyDescent="0.25">
      <c r="A375" s="64">
        <v>374</v>
      </c>
      <c r="B375" s="33">
        <v>4595</v>
      </c>
      <c r="C375" s="33"/>
      <c r="D375" s="33" t="s">
        <v>2416</v>
      </c>
      <c r="E375" s="33" t="s">
        <v>2488</v>
      </c>
      <c r="F375" s="33" t="s">
        <v>131</v>
      </c>
      <c r="G375" s="33" t="str">
        <f>CONCATENATE(TRIM(الجدول2[[#This Row],[الاسم الأول]])," ",TRIM(الجدول2[[#This Row],[اسم الأب]])," ",TRIM(الجدول2[[#This Row],[الكنية]]))</f>
        <v>شادي نصر علي</v>
      </c>
      <c r="H375" s="14" t="s">
        <v>2422</v>
      </c>
      <c r="I375" s="15" t="s">
        <v>2489</v>
      </c>
      <c r="J375" s="15" t="s">
        <v>58</v>
      </c>
      <c r="K375" s="14" t="s">
        <v>59</v>
      </c>
      <c r="L375" s="14" t="s">
        <v>59</v>
      </c>
      <c r="M375" s="14" t="s">
        <v>60</v>
      </c>
      <c r="N375" s="14" t="s">
        <v>2490</v>
      </c>
      <c r="O375" s="16">
        <v>30701</v>
      </c>
      <c r="P375" s="16" t="s">
        <v>2491</v>
      </c>
      <c r="Q375" s="14" t="s">
        <v>63</v>
      </c>
      <c r="R375" s="15" t="s">
        <v>2492</v>
      </c>
      <c r="S375" s="34" t="s">
        <v>109</v>
      </c>
      <c r="T375" s="36">
        <v>1</v>
      </c>
      <c r="U375" s="36">
        <v>2</v>
      </c>
      <c r="V375" s="36" t="s">
        <v>66</v>
      </c>
      <c r="W375" s="36" t="s">
        <v>67</v>
      </c>
      <c r="X375" s="36" t="s">
        <v>68</v>
      </c>
      <c r="Y375" s="36" t="s">
        <v>152</v>
      </c>
      <c r="Z375" s="36"/>
      <c r="AA375" s="36"/>
      <c r="AB375" s="36" t="s">
        <v>249</v>
      </c>
      <c r="AC375" s="36" t="s">
        <v>155</v>
      </c>
      <c r="AD375" s="36" t="s">
        <v>1448</v>
      </c>
      <c r="AE375" s="37">
        <v>45029</v>
      </c>
      <c r="AF375" s="36" t="s">
        <v>156</v>
      </c>
      <c r="AG375" s="36"/>
      <c r="AH375" s="36" t="s">
        <v>140</v>
      </c>
      <c r="AI375" s="36" t="s">
        <v>250</v>
      </c>
      <c r="AJ375" s="36"/>
      <c r="AK375" s="36" t="s">
        <v>59</v>
      </c>
      <c r="AL375" s="36" t="s">
        <v>59</v>
      </c>
      <c r="AM375" s="36" t="s">
        <v>99</v>
      </c>
      <c r="AN375" s="36" t="s">
        <v>80</v>
      </c>
      <c r="AO375" s="36"/>
      <c r="AP375" s="36"/>
      <c r="AQ375" s="36" t="s">
        <v>81</v>
      </c>
      <c r="AR375" s="36"/>
      <c r="AS375" s="36" t="s">
        <v>82</v>
      </c>
      <c r="AT375" s="36" t="s">
        <v>250</v>
      </c>
      <c r="AU375" s="36"/>
      <c r="AV375" s="36"/>
      <c r="AW375" s="36"/>
      <c r="AX375" s="36"/>
      <c r="AY375" s="37"/>
      <c r="AZ375" s="36" t="s">
        <v>80</v>
      </c>
      <c r="BA375" s="33"/>
      <c r="BB375" s="33" t="s">
        <v>2533</v>
      </c>
      <c r="BC375" s="33" t="s">
        <v>2533</v>
      </c>
      <c r="BD375" s="33"/>
      <c r="BE375" s="38"/>
      <c r="BF375" s="65">
        <v>0</v>
      </c>
    </row>
    <row r="376" spans="1:58" s="51" customFormat="1" ht="23.4" hidden="1" x14ac:dyDescent="0.25">
      <c r="A376" s="64">
        <v>375</v>
      </c>
      <c r="B376" s="33">
        <v>4725</v>
      </c>
      <c r="C376" s="33"/>
      <c r="D376" s="33" t="s">
        <v>160</v>
      </c>
      <c r="E376" s="33" t="s">
        <v>55</v>
      </c>
      <c r="F376" s="33" t="s">
        <v>55</v>
      </c>
      <c r="G376" s="33" t="str">
        <f>CONCATENATE(TRIM(الجدول2[[#This Row],[الاسم الأول]])," ",TRIM(الجدول2[[#This Row],[اسم الأب]])," ",TRIM(الجدول2[[#This Row],[الكنية]]))</f>
        <v>صالح حسن حسن</v>
      </c>
      <c r="H376" s="14" t="s">
        <v>2493</v>
      </c>
      <c r="I376" s="15" t="s">
        <v>2494</v>
      </c>
      <c r="J376" s="15" t="s">
        <v>58</v>
      </c>
      <c r="K376" s="14" t="s">
        <v>59</v>
      </c>
      <c r="L376" s="14" t="s">
        <v>59</v>
      </c>
      <c r="M376" s="14" t="s">
        <v>60</v>
      </c>
      <c r="N376" s="14" t="s">
        <v>2495</v>
      </c>
      <c r="O376" s="16">
        <v>32709</v>
      </c>
      <c r="P376" s="16" t="s">
        <v>2496</v>
      </c>
      <c r="Q376" s="14" t="s">
        <v>63</v>
      </c>
      <c r="R376" s="15"/>
      <c r="S376" s="34" t="s">
        <v>65</v>
      </c>
      <c r="T376" s="36"/>
      <c r="U376" s="36"/>
      <c r="V376" s="36" t="s">
        <v>66</v>
      </c>
      <c r="W376" s="36" t="s">
        <v>67</v>
      </c>
      <c r="X376" s="36" t="s">
        <v>68</v>
      </c>
      <c r="Y376" s="36" t="s">
        <v>152</v>
      </c>
      <c r="Z376" s="36"/>
      <c r="AA376" s="36"/>
      <c r="AB376" s="36" t="s">
        <v>1335</v>
      </c>
      <c r="AC376" s="36" t="s">
        <v>73</v>
      </c>
      <c r="AD376" s="36" t="s">
        <v>2466</v>
      </c>
      <c r="AE376" s="37">
        <v>42191</v>
      </c>
      <c r="AF376" s="36" t="s">
        <v>123</v>
      </c>
      <c r="AG376" s="36"/>
      <c r="AH376" s="36" t="s">
        <v>140</v>
      </c>
      <c r="AI376" s="36" t="s">
        <v>250</v>
      </c>
      <c r="AJ376" s="36"/>
      <c r="AK376" s="36" t="s">
        <v>59</v>
      </c>
      <c r="AL376" s="36" t="s">
        <v>59</v>
      </c>
      <c r="AM376" s="36" t="s">
        <v>99</v>
      </c>
      <c r="AN376" s="36" t="s">
        <v>80</v>
      </c>
      <c r="AO376" s="36"/>
      <c r="AP376" s="36"/>
      <c r="AQ376" s="36" t="s">
        <v>81</v>
      </c>
      <c r="AR376" s="36"/>
      <c r="AS376" s="36" t="s">
        <v>446</v>
      </c>
      <c r="AT376" s="36" t="s">
        <v>250</v>
      </c>
      <c r="AU376" s="36"/>
      <c r="AV376" s="36"/>
      <c r="AW376" s="36"/>
      <c r="AX376" s="36"/>
      <c r="AY376" s="37"/>
      <c r="AZ376" s="36" t="s">
        <v>80</v>
      </c>
      <c r="BA376" s="33"/>
      <c r="BB376" s="33" t="s">
        <v>2533</v>
      </c>
      <c r="BC376" s="33" t="s">
        <v>2533</v>
      </c>
      <c r="BD376" s="33"/>
      <c r="BE376" s="38"/>
      <c r="BF376" s="65">
        <v>0</v>
      </c>
    </row>
    <row r="377" spans="1:58" s="51" customFormat="1" ht="23.4" hidden="1" x14ac:dyDescent="0.25">
      <c r="A377" s="64">
        <v>376</v>
      </c>
      <c r="B377" s="33">
        <v>5934</v>
      </c>
      <c r="C377" s="33">
        <v>987257</v>
      </c>
      <c r="D377" s="33" t="s">
        <v>131</v>
      </c>
      <c r="E377" s="33" t="s">
        <v>334</v>
      </c>
      <c r="F377" s="33" t="s">
        <v>2497</v>
      </c>
      <c r="G377" s="33" t="str">
        <f>CONCATENATE(TRIM(الجدول2[[#This Row],[الاسم الأول]])," ",TRIM(الجدول2[[#This Row],[اسم الأب]])," ",TRIM(الجدول2[[#This Row],[الكنية]]))</f>
        <v>علي سلمان ايوب</v>
      </c>
      <c r="H377" s="14" t="s">
        <v>2498</v>
      </c>
      <c r="I377" s="15" t="s">
        <v>2499</v>
      </c>
      <c r="J377" s="15" t="s">
        <v>58</v>
      </c>
      <c r="K377" s="14" t="s">
        <v>59</v>
      </c>
      <c r="L377" s="14" t="s">
        <v>59</v>
      </c>
      <c r="M377" s="14" t="s">
        <v>60</v>
      </c>
      <c r="N377" s="14" t="s">
        <v>2500</v>
      </c>
      <c r="O377" s="16">
        <v>23802</v>
      </c>
      <c r="P377" s="16" t="s">
        <v>2501</v>
      </c>
      <c r="Q377" s="14" t="s">
        <v>63</v>
      </c>
      <c r="R377" s="15" t="s">
        <v>2502</v>
      </c>
      <c r="S377" s="34" t="s">
        <v>109</v>
      </c>
      <c r="T377" s="36">
        <v>1</v>
      </c>
      <c r="U377" s="36">
        <v>4</v>
      </c>
      <c r="V377" s="36" t="s">
        <v>66</v>
      </c>
      <c r="W377" s="36" t="s">
        <v>67</v>
      </c>
      <c r="X377" s="36" t="s">
        <v>68</v>
      </c>
      <c r="Y377" s="36" t="s">
        <v>2503</v>
      </c>
      <c r="Z377" s="36"/>
      <c r="AA377" s="36"/>
      <c r="AB377" s="36" t="s">
        <v>2504</v>
      </c>
      <c r="AC377" s="36" t="s">
        <v>73</v>
      </c>
      <c r="AD377" s="36" t="s">
        <v>1448</v>
      </c>
      <c r="AE377" s="37">
        <v>33780</v>
      </c>
      <c r="AF377" s="36" t="s">
        <v>123</v>
      </c>
      <c r="AG377" s="36"/>
      <c r="AH377" s="36" t="s">
        <v>2467</v>
      </c>
      <c r="AI377" s="36" t="s">
        <v>327</v>
      </c>
      <c r="AJ377" s="36" t="s">
        <v>2505</v>
      </c>
      <c r="AK377" s="36" t="s">
        <v>59</v>
      </c>
      <c r="AL377" s="36" t="s">
        <v>59</v>
      </c>
      <c r="AM377" s="36" t="s">
        <v>99</v>
      </c>
      <c r="AN377" s="36" t="s">
        <v>80</v>
      </c>
      <c r="AO377" s="36"/>
      <c r="AP377" s="36"/>
      <c r="AQ377" s="36" t="s">
        <v>81</v>
      </c>
      <c r="AR377" s="36"/>
      <c r="AS377" s="36" t="s">
        <v>82</v>
      </c>
      <c r="AT377" s="36" t="s">
        <v>327</v>
      </c>
      <c r="AU377" s="36" t="s">
        <v>83</v>
      </c>
      <c r="AV377" s="36" t="s">
        <v>61</v>
      </c>
      <c r="AW377" s="36" t="s">
        <v>2506</v>
      </c>
      <c r="AX377" s="36" t="s">
        <v>2505</v>
      </c>
      <c r="AY377" s="37">
        <v>32374</v>
      </c>
      <c r="AZ377" s="36" t="s">
        <v>80</v>
      </c>
      <c r="BA377" s="33"/>
      <c r="BB377" s="33" t="s">
        <v>2533</v>
      </c>
      <c r="BC377" s="33" t="s">
        <v>2533</v>
      </c>
      <c r="BD377" s="33"/>
      <c r="BE377" s="38"/>
      <c r="BF377" s="65">
        <v>0</v>
      </c>
    </row>
    <row r="378" spans="1:58" s="51" customFormat="1" ht="23.4" hidden="1" x14ac:dyDescent="0.25">
      <c r="A378" s="64">
        <v>377</v>
      </c>
      <c r="B378" s="33">
        <v>7414</v>
      </c>
      <c r="C378" s="33"/>
      <c r="D378" s="33" t="s">
        <v>1537</v>
      </c>
      <c r="E378" s="33" t="s">
        <v>369</v>
      </c>
      <c r="F378" s="33" t="s">
        <v>941</v>
      </c>
      <c r="G378" s="33" t="str">
        <f>CONCATENATE(TRIM(الجدول2[[#This Row],[الاسم الأول]])," ",TRIM(الجدول2[[#This Row],[اسم الأب]])," ",TRIM(الجدول2[[#This Row],[الكنية]]))</f>
        <v>لينا عبدالكريم بلال</v>
      </c>
      <c r="H378" s="14" t="s">
        <v>941</v>
      </c>
      <c r="I378" s="15" t="s">
        <v>2507</v>
      </c>
      <c r="J378" s="15" t="s">
        <v>58</v>
      </c>
      <c r="K378" s="14" t="s">
        <v>59</v>
      </c>
      <c r="L378" s="14" t="s">
        <v>59</v>
      </c>
      <c r="M378" s="14" t="s">
        <v>60</v>
      </c>
      <c r="N378" s="14" t="s">
        <v>59</v>
      </c>
      <c r="O378" s="16">
        <v>29819</v>
      </c>
      <c r="P378" s="16" t="s">
        <v>2508</v>
      </c>
      <c r="Q378" s="14" t="s">
        <v>179</v>
      </c>
      <c r="R378" s="15" t="s">
        <v>2509</v>
      </c>
      <c r="S378" s="34" t="s">
        <v>109</v>
      </c>
      <c r="T378" s="36"/>
      <c r="U378" s="36">
        <v>3</v>
      </c>
      <c r="V378" s="36" t="s">
        <v>66</v>
      </c>
      <c r="W378" s="36" t="s">
        <v>67</v>
      </c>
      <c r="X378" s="36" t="s">
        <v>68</v>
      </c>
      <c r="Y378" s="36"/>
      <c r="Z378" s="36"/>
      <c r="AA378" s="36"/>
      <c r="AB378" s="36" t="s">
        <v>491</v>
      </c>
      <c r="AC378" s="36" t="s">
        <v>73</v>
      </c>
      <c r="AD378" s="36" t="s">
        <v>1448</v>
      </c>
      <c r="AE378" s="37">
        <v>34932</v>
      </c>
      <c r="AF378" s="36" t="s">
        <v>156</v>
      </c>
      <c r="AG378" s="36"/>
      <c r="AH378" s="36" t="s">
        <v>157</v>
      </c>
      <c r="AI378" s="36" t="s">
        <v>250</v>
      </c>
      <c r="AJ378" s="36"/>
      <c r="AK378" s="36" t="s">
        <v>59</v>
      </c>
      <c r="AL378" s="36" t="s">
        <v>59</v>
      </c>
      <c r="AM378" s="36" t="s">
        <v>99</v>
      </c>
      <c r="AN378" s="36" t="s">
        <v>80</v>
      </c>
      <c r="AO378" s="36"/>
      <c r="AP378" s="36"/>
      <c r="AQ378" s="36" t="s">
        <v>81</v>
      </c>
      <c r="AR378" s="36"/>
      <c r="AS378" s="36"/>
      <c r="AT378" s="36" t="s">
        <v>250</v>
      </c>
      <c r="AU378" s="36"/>
      <c r="AV378" s="36"/>
      <c r="AW378" s="36"/>
      <c r="AX378" s="36"/>
      <c r="AY378" s="37"/>
      <c r="AZ378" s="36" t="s">
        <v>80</v>
      </c>
      <c r="BA378" s="33"/>
      <c r="BB378" s="33" t="s">
        <v>2533</v>
      </c>
      <c r="BC378" s="33" t="s">
        <v>2533</v>
      </c>
      <c r="BD378" s="33"/>
      <c r="BE378" s="38"/>
      <c r="BF378" s="65">
        <v>0</v>
      </c>
    </row>
    <row r="379" spans="1:58" s="51" customFormat="1" ht="23.4" hidden="1" x14ac:dyDescent="0.25">
      <c r="A379" s="64">
        <v>378</v>
      </c>
      <c r="B379" s="33">
        <v>7896</v>
      </c>
      <c r="C379" s="33"/>
      <c r="D379" s="33" t="s">
        <v>115</v>
      </c>
      <c r="E379" s="33" t="s">
        <v>55</v>
      </c>
      <c r="F379" s="33" t="s">
        <v>2510</v>
      </c>
      <c r="G379" s="33" t="str">
        <f>CONCATENATE(TRIM(الجدول2[[#This Row],[الاسم الأول]])," ",TRIM(الجدول2[[#This Row],[اسم الأب]])," ",TRIM(الجدول2[[#This Row],[الكنية]]))</f>
        <v>محمد حسن الاحمد</v>
      </c>
      <c r="H379" s="14" t="s">
        <v>2511</v>
      </c>
      <c r="I379" s="15" t="s">
        <v>2512</v>
      </c>
      <c r="J379" s="15" t="s">
        <v>58</v>
      </c>
      <c r="K379" s="14" t="s">
        <v>59</v>
      </c>
      <c r="L379" s="14" t="s">
        <v>59</v>
      </c>
      <c r="M379" s="14" t="s">
        <v>60</v>
      </c>
      <c r="N379" s="14" t="s">
        <v>59</v>
      </c>
      <c r="O379" s="16">
        <v>30987</v>
      </c>
      <c r="P379" s="16" t="s">
        <v>2513</v>
      </c>
      <c r="Q379" s="14" t="s">
        <v>63</v>
      </c>
      <c r="R379" s="15"/>
      <c r="S379" s="34" t="s">
        <v>65</v>
      </c>
      <c r="T379" s="36"/>
      <c r="U379" s="36"/>
      <c r="V379" s="36" t="s">
        <v>66</v>
      </c>
      <c r="W379" s="36" t="s">
        <v>67</v>
      </c>
      <c r="X379" s="36" t="s">
        <v>68</v>
      </c>
      <c r="Y379" s="36" t="s">
        <v>152</v>
      </c>
      <c r="Z379" s="36" t="s">
        <v>153</v>
      </c>
      <c r="AA379" s="36"/>
      <c r="AB379" s="36" t="s">
        <v>2514</v>
      </c>
      <c r="AC379" s="36" t="s">
        <v>155</v>
      </c>
      <c r="AD379" s="36" t="s">
        <v>2515</v>
      </c>
      <c r="AE379" s="37">
        <v>45029</v>
      </c>
      <c r="AF379" s="36" t="s">
        <v>156</v>
      </c>
      <c r="AG379" s="36"/>
      <c r="AH379" s="36" t="s">
        <v>157</v>
      </c>
      <c r="AI379" s="36" t="s">
        <v>250</v>
      </c>
      <c r="AJ379" s="36"/>
      <c r="AK379" s="36" t="s">
        <v>59</v>
      </c>
      <c r="AL379" s="36" t="s">
        <v>59</v>
      </c>
      <c r="AM379" s="36" t="s">
        <v>99</v>
      </c>
      <c r="AN379" s="36" t="s">
        <v>80</v>
      </c>
      <c r="AO379" s="36"/>
      <c r="AP379" s="36"/>
      <c r="AQ379" s="36" t="s">
        <v>81</v>
      </c>
      <c r="AR379" s="36"/>
      <c r="AS379" s="36" t="s">
        <v>446</v>
      </c>
      <c r="AT379" s="36" t="s">
        <v>250</v>
      </c>
      <c r="AU379" s="36"/>
      <c r="AV379" s="36"/>
      <c r="AW379" s="36"/>
      <c r="AX379" s="36"/>
      <c r="AY379" s="37"/>
      <c r="AZ379" s="36" t="s">
        <v>80</v>
      </c>
      <c r="BA379" s="33"/>
      <c r="BB379" s="33" t="s">
        <v>2533</v>
      </c>
      <c r="BC379" s="33" t="s">
        <v>2533</v>
      </c>
      <c r="BD379" s="33"/>
      <c r="BE379" s="38"/>
      <c r="BF379" s="65">
        <v>0</v>
      </c>
    </row>
    <row r="380" spans="1:58" s="51" customFormat="1" ht="23.4" hidden="1" x14ac:dyDescent="0.25">
      <c r="A380" s="64">
        <v>379</v>
      </c>
      <c r="B380" s="33">
        <v>8988</v>
      </c>
      <c r="C380" s="33"/>
      <c r="D380" s="33" t="s">
        <v>1735</v>
      </c>
      <c r="E380" s="33" t="s">
        <v>334</v>
      </c>
      <c r="F380" s="33" t="s">
        <v>1067</v>
      </c>
      <c r="G380" s="33" t="str">
        <f>CONCATENATE(TRIM(الجدول2[[#This Row],[الاسم الأول]])," ",TRIM(الجدول2[[#This Row],[اسم الأب]])," ",TRIM(الجدول2[[#This Row],[الكنية]]))</f>
        <v>مضر سلمان زهرة</v>
      </c>
      <c r="H380" s="14" t="s">
        <v>1114</v>
      </c>
      <c r="I380" s="15" t="s">
        <v>2516</v>
      </c>
      <c r="J380" s="15" t="s">
        <v>58</v>
      </c>
      <c r="K380" s="14" t="s">
        <v>59</v>
      </c>
      <c r="L380" s="14" t="s">
        <v>59</v>
      </c>
      <c r="M380" s="14" t="s">
        <v>60</v>
      </c>
      <c r="N380" s="14" t="s">
        <v>1914</v>
      </c>
      <c r="O380" s="16">
        <v>33208</v>
      </c>
      <c r="P380" s="16" t="s">
        <v>2517</v>
      </c>
      <c r="Q380" s="14" t="s">
        <v>63</v>
      </c>
      <c r="R380" s="15" t="s">
        <v>2518</v>
      </c>
      <c r="S380" s="34" t="s">
        <v>65</v>
      </c>
      <c r="T380" s="36"/>
      <c r="U380" s="36"/>
      <c r="V380" s="36" t="s">
        <v>66</v>
      </c>
      <c r="W380" s="36" t="s">
        <v>67</v>
      </c>
      <c r="X380" s="36" t="s">
        <v>68</v>
      </c>
      <c r="Y380" s="36" t="s">
        <v>152</v>
      </c>
      <c r="Z380" s="36"/>
      <c r="AA380" s="36"/>
      <c r="AB380" s="36" t="s">
        <v>529</v>
      </c>
      <c r="AC380" s="36" t="s">
        <v>155</v>
      </c>
      <c r="AD380" s="36" t="s">
        <v>1448</v>
      </c>
      <c r="AE380" s="37">
        <v>45029</v>
      </c>
      <c r="AF380" s="36" t="s">
        <v>156</v>
      </c>
      <c r="AG380" s="36"/>
      <c r="AH380" s="36" t="s">
        <v>140</v>
      </c>
      <c r="AI380" s="36" t="s">
        <v>250</v>
      </c>
      <c r="AJ380" s="36"/>
      <c r="AK380" s="36" t="s">
        <v>59</v>
      </c>
      <c r="AL380" s="36" t="s">
        <v>59</v>
      </c>
      <c r="AM380" s="36" t="s">
        <v>99</v>
      </c>
      <c r="AN380" s="36" t="s">
        <v>80</v>
      </c>
      <c r="AO380" s="36"/>
      <c r="AP380" s="36"/>
      <c r="AQ380" s="36" t="s">
        <v>81</v>
      </c>
      <c r="AR380" s="36"/>
      <c r="AS380" s="36" t="s">
        <v>446</v>
      </c>
      <c r="AT380" s="36" t="s">
        <v>250</v>
      </c>
      <c r="AU380" s="36"/>
      <c r="AV380" s="36"/>
      <c r="AW380" s="36"/>
      <c r="AX380" s="36"/>
      <c r="AY380" s="37"/>
      <c r="AZ380" s="36" t="s">
        <v>80</v>
      </c>
      <c r="BA380" s="33"/>
      <c r="BB380" s="33" t="s">
        <v>2533</v>
      </c>
      <c r="BC380" s="33" t="s">
        <v>2533</v>
      </c>
      <c r="BD380" s="33"/>
      <c r="BE380" s="38"/>
      <c r="BF380" s="65">
        <v>0</v>
      </c>
    </row>
    <row r="381" spans="1:58" s="51" customFormat="1" ht="23.4" hidden="1" x14ac:dyDescent="0.25">
      <c r="A381" s="64">
        <v>380</v>
      </c>
      <c r="B381" s="33">
        <v>9760</v>
      </c>
      <c r="C381" s="33"/>
      <c r="D381" s="33" t="s">
        <v>1938</v>
      </c>
      <c r="E381" s="33" t="s">
        <v>115</v>
      </c>
      <c r="F381" s="33" t="s">
        <v>2519</v>
      </c>
      <c r="G381" s="33" t="str">
        <f>CONCATENATE(TRIM(الجدول2[[#This Row],[الاسم الأول]])," ",TRIM(الجدول2[[#This Row],[اسم الأب]])," ",TRIM(الجدول2[[#This Row],[الكنية]]))</f>
        <v>نسرين محمد اسعد</v>
      </c>
      <c r="H381" s="14" t="s">
        <v>2520</v>
      </c>
      <c r="I381" s="15" t="s">
        <v>2521</v>
      </c>
      <c r="J381" s="15" t="s">
        <v>58</v>
      </c>
      <c r="K381" s="14" t="s">
        <v>59</v>
      </c>
      <c r="L381" s="14" t="s">
        <v>59</v>
      </c>
      <c r="M381" s="14" t="s">
        <v>60</v>
      </c>
      <c r="N381" s="14" t="s">
        <v>361</v>
      </c>
      <c r="O381" s="16">
        <v>28067</v>
      </c>
      <c r="P381" s="16" t="s">
        <v>2522</v>
      </c>
      <c r="Q381" s="14" t="s">
        <v>179</v>
      </c>
      <c r="R381" s="15" t="s">
        <v>2523</v>
      </c>
      <c r="S381" s="34" t="s">
        <v>65</v>
      </c>
      <c r="T381" s="36"/>
      <c r="U381" s="36"/>
      <c r="V381" s="36" t="s">
        <v>66</v>
      </c>
      <c r="W381" s="36" t="s">
        <v>67</v>
      </c>
      <c r="X381" s="36" t="s">
        <v>68</v>
      </c>
      <c r="Y381" s="36"/>
      <c r="Z381" s="36"/>
      <c r="AA381" s="36"/>
      <c r="AB381" s="36" t="s">
        <v>2524</v>
      </c>
      <c r="AC381" s="36" t="s">
        <v>73</v>
      </c>
      <c r="AD381" s="36" t="s">
        <v>1448</v>
      </c>
      <c r="AE381" s="37">
        <v>43901</v>
      </c>
      <c r="AF381" s="36" t="s">
        <v>156</v>
      </c>
      <c r="AG381" s="36"/>
      <c r="AH381" s="36" t="s">
        <v>157</v>
      </c>
      <c r="AI381" s="36" t="s">
        <v>143</v>
      </c>
      <c r="AJ381" s="36"/>
      <c r="AK381" s="36" t="s">
        <v>59</v>
      </c>
      <c r="AL381" s="36" t="s">
        <v>59</v>
      </c>
      <c r="AM381" s="36" t="s">
        <v>99</v>
      </c>
      <c r="AN381" s="36" t="s">
        <v>80</v>
      </c>
      <c r="AO381" s="36"/>
      <c r="AP381" s="36"/>
      <c r="AQ381" s="36" t="s">
        <v>81</v>
      </c>
      <c r="AR381" s="36"/>
      <c r="AS381" s="36" t="s">
        <v>446</v>
      </c>
      <c r="AT381" s="36" t="s">
        <v>143</v>
      </c>
      <c r="AU381" s="36" t="s">
        <v>83</v>
      </c>
      <c r="AV381" s="36"/>
      <c r="AW381" s="36"/>
      <c r="AX381" s="36"/>
      <c r="AY381" s="37">
        <v>32374</v>
      </c>
      <c r="AZ381" s="36" t="s">
        <v>80</v>
      </c>
      <c r="BA381" s="33"/>
      <c r="BB381" s="33" t="s">
        <v>2533</v>
      </c>
      <c r="BC381" s="33" t="s">
        <v>2533</v>
      </c>
      <c r="BD381" s="33"/>
      <c r="BE381" s="38"/>
      <c r="BF381" s="65">
        <v>0</v>
      </c>
    </row>
    <row r="382" spans="1:58" s="51" customFormat="1" ht="23.4" hidden="1" x14ac:dyDescent="0.25">
      <c r="A382" s="64">
        <v>381</v>
      </c>
      <c r="B382" s="33">
        <v>9856</v>
      </c>
      <c r="C382" s="33"/>
      <c r="D382" s="33" t="s">
        <v>1964</v>
      </c>
      <c r="E382" s="33" t="s">
        <v>741</v>
      </c>
      <c r="F382" s="33" t="s">
        <v>1165</v>
      </c>
      <c r="G382" s="33" t="str">
        <f>CONCATENATE(TRIM(الجدول2[[#This Row],[الاسم الأول]])," ",TRIM(الجدول2[[#This Row],[اسم الأب]])," ",TRIM(الجدول2[[#This Row],[الكنية]]))</f>
        <v>نغم غسان طالب</v>
      </c>
      <c r="H382" s="14" t="s">
        <v>1024</v>
      </c>
      <c r="I382" s="15" t="s">
        <v>2525</v>
      </c>
      <c r="J382" s="15" t="s">
        <v>58</v>
      </c>
      <c r="K382" s="14" t="s">
        <v>59</v>
      </c>
      <c r="L382" s="14" t="s">
        <v>59</v>
      </c>
      <c r="M382" s="14" t="s">
        <v>60</v>
      </c>
      <c r="N382" s="14" t="s">
        <v>90</v>
      </c>
      <c r="O382" s="16">
        <v>32752</v>
      </c>
      <c r="P382" s="16" t="s">
        <v>2526</v>
      </c>
      <c r="Q382" s="14" t="s">
        <v>179</v>
      </c>
      <c r="R382" s="15"/>
      <c r="S382" s="34" t="s">
        <v>65</v>
      </c>
      <c r="T382" s="36"/>
      <c r="U382" s="36"/>
      <c r="V382" s="36" t="s">
        <v>66</v>
      </c>
      <c r="W382" s="36" t="s">
        <v>67</v>
      </c>
      <c r="X382" s="36" t="s">
        <v>68</v>
      </c>
      <c r="Y382" s="36" t="s">
        <v>1427</v>
      </c>
      <c r="Z382" s="36"/>
      <c r="AA382" s="36"/>
      <c r="AB382" s="36" t="s">
        <v>289</v>
      </c>
      <c r="AC382" s="36" t="s">
        <v>73</v>
      </c>
      <c r="AD382" s="36" t="s">
        <v>2466</v>
      </c>
      <c r="AE382" s="37">
        <v>42263</v>
      </c>
      <c r="AF382" s="36" t="s">
        <v>123</v>
      </c>
      <c r="AG382" s="36"/>
      <c r="AH382" s="36" t="s">
        <v>2467</v>
      </c>
      <c r="AI382" s="36" t="s">
        <v>76</v>
      </c>
      <c r="AJ382" s="36" t="s">
        <v>277</v>
      </c>
      <c r="AK382" s="36" t="s">
        <v>59</v>
      </c>
      <c r="AL382" s="36" t="s">
        <v>59</v>
      </c>
      <c r="AM382" s="36" t="s">
        <v>99</v>
      </c>
      <c r="AN382" s="36" t="s">
        <v>80</v>
      </c>
      <c r="AO382" s="36"/>
      <c r="AP382" s="36"/>
      <c r="AQ382" s="36" t="s">
        <v>81</v>
      </c>
      <c r="AR382" s="36"/>
      <c r="AS382" s="36" t="s">
        <v>82</v>
      </c>
      <c r="AT382" s="36" t="s">
        <v>76</v>
      </c>
      <c r="AU382" s="36" t="s">
        <v>83</v>
      </c>
      <c r="AV382" s="36" t="s">
        <v>425</v>
      </c>
      <c r="AW382" s="36" t="s">
        <v>2527</v>
      </c>
      <c r="AX382" s="36" t="s">
        <v>277</v>
      </c>
      <c r="AY382" s="37">
        <v>41140</v>
      </c>
      <c r="AZ382" s="36" t="s">
        <v>80</v>
      </c>
      <c r="BA382" s="33"/>
      <c r="BB382" s="33" t="s">
        <v>2533</v>
      </c>
      <c r="BC382" s="33" t="s">
        <v>2533</v>
      </c>
      <c r="BD382" s="33"/>
      <c r="BE382" s="38"/>
      <c r="BF382" s="65">
        <v>0</v>
      </c>
    </row>
    <row r="383" spans="1:58" s="51" customFormat="1" ht="23.4" hidden="1" x14ac:dyDescent="0.25">
      <c r="A383" s="64">
        <v>382</v>
      </c>
      <c r="B383" s="33">
        <v>9954</v>
      </c>
      <c r="C383" s="33"/>
      <c r="D383" s="33" t="s">
        <v>2039</v>
      </c>
      <c r="E383" s="33" t="s">
        <v>2528</v>
      </c>
      <c r="F383" s="33" t="s">
        <v>2231</v>
      </c>
      <c r="G383" s="33" t="str">
        <f>CONCATENATE(TRIM(الجدول2[[#This Row],[الاسم الأول]])," ",TRIM(الجدول2[[#This Row],[اسم الأب]])," ",TRIM(الجدول2[[#This Row],[الكنية]]))</f>
        <v>نورا رجا يعقوب</v>
      </c>
      <c r="H383" s="33" t="s">
        <v>2529</v>
      </c>
      <c r="I383" s="34" t="s">
        <v>2530</v>
      </c>
      <c r="J383" s="34" t="s">
        <v>58</v>
      </c>
      <c r="K383" s="33" t="s">
        <v>59</v>
      </c>
      <c r="L383" s="33" t="s">
        <v>59</v>
      </c>
      <c r="M383" s="33" t="s">
        <v>60</v>
      </c>
      <c r="N383" s="33" t="s">
        <v>59</v>
      </c>
      <c r="O383" s="35">
        <v>31970</v>
      </c>
      <c r="P383" s="35" t="s">
        <v>2531</v>
      </c>
      <c r="Q383" s="33" t="s">
        <v>179</v>
      </c>
      <c r="R383" s="34"/>
      <c r="S383" s="34" t="s">
        <v>109</v>
      </c>
      <c r="T383" s="36"/>
      <c r="U383" s="36">
        <v>4</v>
      </c>
      <c r="V383" s="36" t="s">
        <v>66</v>
      </c>
      <c r="W383" s="36" t="s">
        <v>67</v>
      </c>
      <c r="X383" s="36" t="s">
        <v>68</v>
      </c>
      <c r="Y383" s="36" t="s">
        <v>210</v>
      </c>
      <c r="Z383" s="36"/>
      <c r="AA383" s="36"/>
      <c r="AB383" s="36" t="s">
        <v>289</v>
      </c>
      <c r="AC383" s="36" t="s">
        <v>73</v>
      </c>
      <c r="AD383" s="36" t="s">
        <v>2466</v>
      </c>
      <c r="AE383" s="37">
        <v>40898</v>
      </c>
      <c r="AF383" s="36" t="s">
        <v>123</v>
      </c>
      <c r="AG383" s="36"/>
      <c r="AH383" s="36" t="s">
        <v>2467</v>
      </c>
      <c r="AI383" s="36" t="s">
        <v>327</v>
      </c>
      <c r="AJ383" s="36" t="s">
        <v>483</v>
      </c>
      <c r="AK383" s="36" t="s">
        <v>59</v>
      </c>
      <c r="AL383" s="36" t="s">
        <v>59</v>
      </c>
      <c r="AM383" s="36" t="s">
        <v>99</v>
      </c>
      <c r="AN383" s="36" t="s">
        <v>80</v>
      </c>
      <c r="AO383" s="36"/>
      <c r="AP383" s="36"/>
      <c r="AQ383" s="36" t="s">
        <v>81</v>
      </c>
      <c r="AR383" s="36"/>
      <c r="AS383" s="36" t="s">
        <v>82</v>
      </c>
      <c r="AT383" s="36" t="s">
        <v>327</v>
      </c>
      <c r="AU383" s="36" t="s">
        <v>83</v>
      </c>
      <c r="AV383" s="36" t="s">
        <v>184</v>
      </c>
      <c r="AW383" s="36" t="s">
        <v>328</v>
      </c>
      <c r="AX383" s="36" t="s">
        <v>483</v>
      </c>
      <c r="AY383" s="37">
        <v>40006</v>
      </c>
      <c r="AZ383" s="36" t="s">
        <v>80</v>
      </c>
      <c r="BA383" s="33"/>
      <c r="BB383" s="33" t="s">
        <v>2533</v>
      </c>
      <c r="BC383" s="33" t="s">
        <v>2533</v>
      </c>
      <c r="BD383" s="33"/>
      <c r="BE383" s="38"/>
      <c r="BF383" s="65">
        <v>0</v>
      </c>
    </row>
    <row r="384" spans="1:58" ht="23.4" hidden="1" x14ac:dyDescent="0.25">
      <c r="A384" s="9"/>
      <c r="B384" s="10"/>
      <c r="C384" s="10"/>
      <c r="D384" s="10"/>
      <c r="E384" s="10"/>
      <c r="F384" s="10"/>
      <c r="G384" s="40" t="s">
        <v>2534</v>
      </c>
      <c r="H384" s="10"/>
      <c r="I384" s="11"/>
      <c r="J384" s="10"/>
      <c r="K384" s="10"/>
      <c r="L384" s="10"/>
      <c r="M384" s="10"/>
      <c r="N384" s="10"/>
      <c r="O384" s="12"/>
      <c r="P384" s="10"/>
      <c r="Q384" s="10"/>
      <c r="R384" s="11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2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2"/>
      <c r="AZ384" s="10"/>
      <c r="BA384" s="10"/>
      <c r="BB384" s="10"/>
      <c r="BC384" s="10"/>
      <c r="BD384" s="10"/>
      <c r="BE384" s="13"/>
      <c r="BF384" s="52">
        <v>0</v>
      </c>
    </row>
    <row r="385" spans="1:58" ht="23.4" hidden="1" x14ac:dyDescent="0.25">
      <c r="A385" s="9"/>
      <c r="B385" s="10"/>
      <c r="C385" s="10"/>
      <c r="D385" s="10"/>
      <c r="E385" s="10"/>
      <c r="F385" s="10"/>
      <c r="G385" s="40" t="s">
        <v>2535</v>
      </c>
      <c r="H385" s="10"/>
      <c r="I385" s="11"/>
      <c r="J385" s="10"/>
      <c r="K385" s="10"/>
      <c r="L385" s="10"/>
      <c r="M385" s="10"/>
      <c r="N385" s="10"/>
      <c r="O385" s="12"/>
      <c r="P385" s="10"/>
      <c r="Q385" s="10"/>
      <c r="R385" s="11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2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2"/>
      <c r="AZ385" s="10"/>
      <c r="BA385" s="10"/>
      <c r="BB385" s="10"/>
      <c r="BC385" s="10"/>
      <c r="BD385" s="10"/>
      <c r="BE385" s="13"/>
      <c r="BF385" s="52">
        <v>0</v>
      </c>
    </row>
    <row r="386" spans="1:58" ht="23.4" hidden="1" x14ac:dyDescent="0.25">
      <c r="A386" s="9"/>
      <c r="B386" s="10"/>
      <c r="C386" s="10"/>
      <c r="D386" s="10"/>
      <c r="E386" s="10"/>
      <c r="F386" s="10"/>
      <c r="G386" s="40" t="s">
        <v>2536</v>
      </c>
      <c r="H386" s="10"/>
      <c r="I386" s="11"/>
      <c r="J386" s="10"/>
      <c r="K386" s="10"/>
      <c r="L386" s="10"/>
      <c r="M386" s="10"/>
      <c r="N386" s="10"/>
      <c r="O386" s="12"/>
      <c r="P386" s="10"/>
      <c r="Q386" s="10"/>
      <c r="R386" s="11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2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2"/>
      <c r="AZ386" s="10"/>
      <c r="BA386" s="10"/>
      <c r="BB386" s="10"/>
      <c r="BC386" s="10"/>
      <c r="BD386" s="10"/>
      <c r="BE386" s="13"/>
      <c r="BF386" s="52">
        <v>0</v>
      </c>
    </row>
    <row r="387" spans="1:58" ht="23.4" hidden="1" x14ac:dyDescent="0.25">
      <c r="A387" s="9"/>
      <c r="B387" s="10"/>
      <c r="C387" s="10"/>
      <c r="D387" s="10"/>
      <c r="E387" s="10"/>
      <c r="F387" s="10"/>
      <c r="G387" s="40" t="s">
        <v>2537</v>
      </c>
      <c r="H387" s="10"/>
      <c r="I387" s="11"/>
      <c r="J387" s="10"/>
      <c r="K387" s="10"/>
      <c r="L387" s="10"/>
      <c r="M387" s="10"/>
      <c r="N387" s="10"/>
      <c r="O387" s="12"/>
      <c r="P387" s="10"/>
      <c r="Q387" s="10"/>
      <c r="R387" s="11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2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2"/>
      <c r="AZ387" s="10"/>
      <c r="BA387" s="10"/>
      <c r="BB387" s="10"/>
      <c r="BC387" s="10"/>
      <c r="BD387" s="10"/>
      <c r="BE387" s="13"/>
      <c r="BF387" s="52">
        <v>0</v>
      </c>
    </row>
    <row r="388" spans="1:58" ht="23.4" hidden="1" x14ac:dyDescent="0.25">
      <c r="A388" s="9"/>
      <c r="B388" s="10"/>
      <c r="C388" s="10"/>
      <c r="D388" s="10"/>
      <c r="E388" s="10"/>
      <c r="F388" s="10"/>
      <c r="G388" s="40" t="s">
        <v>2538</v>
      </c>
      <c r="H388" s="10"/>
      <c r="I388" s="11"/>
      <c r="J388" s="10"/>
      <c r="K388" s="10"/>
      <c r="L388" s="10"/>
      <c r="M388" s="10"/>
      <c r="N388" s="10"/>
      <c r="O388" s="12"/>
      <c r="P388" s="10"/>
      <c r="Q388" s="10"/>
      <c r="R388" s="11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2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2"/>
      <c r="AZ388" s="10"/>
      <c r="BA388" s="10"/>
      <c r="BB388" s="10"/>
      <c r="BC388" s="10"/>
      <c r="BD388" s="10"/>
      <c r="BE388" s="13"/>
      <c r="BF388" s="52">
        <v>0</v>
      </c>
    </row>
    <row r="389" spans="1:58" ht="23.4" hidden="1" x14ac:dyDescent="0.25">
      <c r="A389" s="9"/>
      <c r="B389" s="10"/>
      <c r="C389" s="10"/>
      <c r="D389" s="10"/>
      <c r="E389" s="10"/>
      <c r="F389" s="10"/>
      <c r="G389" s="40" t="s">
        <v>2539</v>
      </c>
      <c r="H389" s="10"/>
      <c r="I389" s="11"/>
      <c r="J389" s="10"/>
      <c r="K389" s="10"/>
      <c r="L389" s="10"/>
      <c r="M389" s="10"/>
      <c r="N389" s="10"/>
      <c r="O389" s="12"/>
      <c r="P389" s="10"/>
      <c r="Q389" s="10"/>
      <c r="R389" s="11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2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2"/>
      <c r="AZ389" s="10"/>
      <c r="BA389" s="10"/>
      <c r="BB389" s="10"/>
      <c r="BC389" s="10"/>
      <c r="BD389" s="10"/>
      <c r="BE389" s="13"/>
      <c r="BF389" s="52">
        <v>0</v>
      </c>
    </row>
    <row r="390" spans="1:58" ht="23.4" hidden="1" x14ac:dyDescent="0.25">
      <c r="A390" s="9"/>
      <c r="B390" s="10"/>
      <c r="C390" s="10"/>
      <c r="D390" s="10"/>
      <c r="E390" s="10"/>
      <c r="F390" s="10"/>
      <c r="G390" s="40" t="s">
        <v>2540</v>
      </c>
      <c r="H390" s="10"/>
      <c r="I390" s="11"/>
      <c r="J390" s="10"/>
      <c r="K390" s="10"/>
      <c r="L390" s="10"/>
      <c r="M390" s="10"/>
      <c r="N390" s="10"/>
      <c r="O390" s="12"/>
      <c r="P390" s="10"/>
      <c r="Q390" s="10"/>
      <c r="R390" s="11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2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2"/>
      <c r="AZ390" s="10"/>
      <c r="BA390" s="10"/>
      <c r="BB390" s="10"/>
      <c r="BC390" s="10"/>
      <c r="BD390" s="10"/>
      <c r="BE390" s="13"/>
      <c r="BF390" s="52">
        <v>0</v>
      </c>
    </row>
    <row r="391" spans="1:58" ht="23.4" hidden="1" x14ac:dyDescent="0.25">
      <c r="A391" s="39"/>
      <c r="B391" s="23"/>
      <c r="C391" s="23"/>
      <c r="D391" s="23"/>
      <c r="E391" s="23"/>
      <c r="F391" s="23"/>
      <c r="G391" s="41" t="s">
        <v>2541</v>
      </c>
      <c r="H391" s="23"/>
      <c r="I391" s="24"/>
      <c r="J391" s="23"/>
      <c r="K391" s="23"/>
      <c r="L391" s="23"/>
      <c r="M391" s="23"/>
      <c r="N391" s="23"/>
      <c r="O391" s="25"/>
      <c r="P391" s="23"/>
      <c r="Q391" s="23"/>
      <c r="R391" s="24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5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5"/>
      <c r="AZ391" s="23"/>
      <c r="BA391" s="23"/>
      <c r="BB391" s="23"/>
      <c r="BC391" s="23"/>
      <c r="BD391" s="23"/>
      <c r="BE391" s="26"/>
      <c r="BF391" s="52">
        <v>0</v>
      </c>
    </row>
  </sheetData>
  <conditionalFormatting sqref="G384:G391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EAE8-2909-4640-AE90-239DE388BE4C}">
  <sheetPr>
    <pageSetUpPr fitToPage="1"/>
  </sheetPr>
  <dimension ref="A1:I17"/>
  <sheetViews>
    <sheetView rightToLeft="1" tabSelected="1" zoomScale="90" zoomScaleNormal="90" workbookViewId="0">
      <selection activeCell="A15" sqref="A15:B16"/>
    </sheetView>
  </sheetViews>
  <sheetFormatPr defaultRowHeight="17.399999999999999" x14ac:dyDescent="0.3"/>
  <cols>
    <col min="1" max="1" width="4.296875" style="85" customWidth="1"/>
    <col min="2" max="2" width="24.69921875" style="85" customWidth="1"/>
    <col min="3" max="3" width="7.09765625" style="85" customWidth="1"/>
    <col min="4" max="4" width="7.5" style="85" customWidth="1"/>
    <col min="5" max="5" width="8.09765625" style="85" customWidth="1"/>
    <col min="6" max="6" width="10.296875" style="85" customWidth="1"/>
    <col min="7" max="8" width="12.19921875" style="85" customWidth="1"/>
    <col min="9" max="9" width="48.09765625" style="96" customWidth="1"/>
    <col min="10" max="16384" width="8.796875" style="66"/>
  </cols>
  <sheetData>
    <row r="1" spans="1:9" ht="30" customHeight="1" x14ac:dyDescent="0.25">
      <c r="A1" s="138" t="s">
        <v>2564</v>
      </c>
      <c r="B1" s="138"/>
      <c r="C1" s="138"/>
      <c r="D1" s="138"/>
      <c r="E1" s="138"/>
      <c r="F1" s="138"/>
      <c r="G1" s="138"/>
      <c r="H1" s="138"/>
      <c r="I1" s="138"/>
    </row>
    <row r="2" spans="1:9" x14ac:dyDescent="0.3">
      <c r="A2" s="139"/>
      <c r="B2" s="139"/>
      <c r="C2" s="139"/>
      <c r="D2" s="139"/>
      <c r="E2" s="70" t="s">
        <v>2543</v>
      </c>
      <c r="F2" s="72" t="s">
        <v>2359</v>
      </c>
      <c r="G2" s="72" t="s">
        <v>2358</v>
      </c>
      <c r="H2" s="72" t="s">
        <v>2567</v>
      </c>
      <c r="I2" s="70" t="s">
        <v>50</v>
      </c>
    </row>
    <row r="3" spans="1:9" x14ac:dyDescent="0.25">
      <c r="A3" s="73" t="s">
        <v>2544</v>
      </c>
      <c r="B3" s="73"/>
      <c r="C3" s="74" t="s">
        <v>2545</v>
      </c>
      <c r="D3" s="74">
        <f>COUNTIFS('العاملين الأمانة العامة'!AC:AC,"مثبت",'العاملين الأمانة العامة'!BC:BC,"داخل الملاك")</f>
        <v>209</v>
      </c>
      <c r="E3" s="75">
        <f>SUM(D3:D4)</f>
        <v>281</v>
      </c>
      <c r="F3" s="76">
        <f>COUNTIFS('العاملين الأمانة العامة'!BB:BB,"ضمن المبنى",'العاملين الأمانة العامة'!BC:BC,"داخل الملاك")</f>
        <v>179</v>
      </c>
      <c r="G3" s="129">
        <f>COUNTIFS('العاملين الأمانة العامة'!BB:BB,"خارج المبنى",'العاملين الأمانة العامة'!BC:BC,"داخل الملاك")</f>
        <v>89</v>
      </c>
      <c r="H3" s="77">
        <f>COUNTIFS('العاملين الأمانة العامة'!AD:AD,"إجازة بلا أجر",'العاملين الأمانة العامة'!BC:BC,"داخل الملاك")</f>
        <v>13</v>
      </c>
      <c r="I3" s="78" t="s">
        <v>2546</v>
      </c>
    </row>
    <row r="4" spans="1:9" x14ac:dyDescent="0.25">
      <c r="A4" s="73"/>
      <c r="B4" s="73"/>
      <c r="C4" s="74" t="s">
        <v>2547</v>
      </c>
      <c r="D4" s="74">
        <f>COUNTIFS('العاملين الأمانة العامة'!AC:AC,"متعاقد",'العاملين الأمانة العامة'!BC:BC,"داخل الملاك")</f>
        <v>72</v>
      </c>
      <c r="E4" s="75"/>
      <c r="F4" s="76"/>
      <c r="G4" s="129"/>
      <c r="H4" s="77"/>
      <c r="I4" s="78"/>
    </row>
    <row r="5" spans="1:9" x14ac:dyDescent="0.25">
      <c r="A5" s="73" t="s">
        <v>2548</v>
      </c>
      <c r="B5" s="73"/>
      <c r="C5" s="74" t="s">
        <v>137</v>
      </c>
      <c r="D5" s="74">
        <f>COUNTIFS('العاملين الأمانة العامة'!AA:AA,"مكلف",'العاملين الأمانة العامة'!BC:BC,"خارج الملاك")</f>
        <v>81</v>
      </c>
      <c r="E5" s="75">
        <f>SUM(D5:D6)</f>
        <v>83</v>
      </c>
      <c r="F5" s="79">
        <f>COUNTIFS('العاملين الأمانة العامة'!BB:BB,"ضمن المبنى",'العاملين الأمانة العامة'!AA:AA,"مكلف",'العاملين الأمانة العامة'!BC:BC,"خارج الملاك")</f>
        <v>80</v>
      </c>
      <c r="G5" s="130">
        <f>COUNTIFS('العاملين الأمانة العامة'!BB:BB,"خارج المبنى",'العاملين الأمانة العامة'!AA:AA,"مكلف",'العاملين الأمانة العامة'!BC:BC,"خارج الملاك")</f>
        <v>0</v>
      </c>
      <c r="H5" s="98">
        <f>COUNTIFS('العاملين الأمانة العامة'!AD:AD,"إجازة بلا أجر",'العاملين الأمانة العامة'!BC:BC,"خارج الملاك")</f>
        <v>1</v>
      </c>
      <c r="I5" s="74" t="s">
        <v>2570</v>
      </c>
    </row>
    <row r="6" spans="1:9" x14ac:dyDescent="0.25">
      <c r="A6" s="73"/>
      <c r="B6" s="73"/>
      <c r="C6" s="74" t="s">
        <v>2550</v>
      </c>
      <c r="D6" s="74">
        <f>COUNTIFS('العاملين الأمانة العامة'!AA:AA,"مندب",'العاملين الأمانة العامة'!BC:BC,"خارج الملاك")</f>
        <v>2</v>
      </c>
      <c r="E6" s="75"/>
      <c r="F6" s="79">
        <f>COUNTIFS('العاملين الأمانة العامة'!BB:BB,"ضمن المبنى",'العاملين الأمانة العامة'!AA:AA,"مندب",'العاملين الأمانة العامة'!BC:BC,"خارج الملاك")</f>
        <v>1</v>
      </c>
      <c r="G6" s="130">
        <f>COUNTIFS('العاملين الأمانة العامة'!BB:BB,"خارج المبنى",'العاملين الأمانة العامة'!AA:AA,"مندب",'العاملين الأمانة العامة'!BC:BC,"خارج الملاك")</f>
        <v>1</v>
      </c>
      <c r="H6" s="98"/>
      <c r="I6" s="74" t="s">
        <v>2551</v>
      </c>
    </row>
    <row r="7" spans="1:9" x14ac:dyDescent="0.3">
      <c r="A7" s="73" t="s">
        <v>2552</v>
      </c>
      <c r="B7" s="73"/>
      <c r="C7" s="75"/>
      <c r="D7" s="75"/>
      <c r="E7" s="125"/>
      <c r="F7" s="79" t="s">
        <v>2565</v>
      </c>
      <c r="G7" s="130">
        <v>8</v>
      </c>
      <c r="H7" s="98"/>
      <c r="I7" s="74"/>
    </row>
    <row r="8" spans="1:9" x14ac:dyDescent="0.3">
      <c r="A8" s="73" t="s">
        <v>1636</v>
      </c>
      <c r="B8" s="73"/>
      <c r="C8" s="139"/>
      <c r="D8" s="139"/>
      <c r="E8" s="74"/>
      <c r="F8" s="126" t="s">
        <v>2565</v>
      </c>
      <c r="G8" s="130">
        <f>COUNTIFS('العاملين الأمانة العامة'!BB:BB,"خارج المبنى",'العاملين الأمانة العامة'!AA:AA,"تحت التصرف",'العاملين الأمانة العامة'!BC:BC,"خارج الملاك")</f>
        <v>3</v>
      </c>
      <c r="H8" s="98"/>
      <c r="I8" s="74"/>
    </row>
    <row r="9" spans="1:9" ht="24.6" customHeight="1" x14ac:dyDescent="0.25">
      <c r="A9" s="73" t="s">
        <v>2566</v>
      </c>
      <c r="B9" s="73"/>
      <c r="C9" s="73"/>
      <c r="D9" s="73"/>
      <c r="E9" s="73"/>
      <c r="F9" s="71">
        <f>SUM(F3:F8)</f>
        <v>260</v>
      </c>
      <c r="G9" s="131">
        <f>SUM(G3:G8)</f>
        <v>101</v>
      </c>
      <c r="H9" s="128">
        <f>SUM(H3:H8)</f>
        <v>14</v>
      </c>
      <c r="I9" s="70"/>
    </row>
    <row r="10" spans="1:9" ht="22.8" customHeight="1" x14ac:dyDescent="0.25">
      <c r="A10" s="138" t="s">
        <v>2553</v>
      </c>
      <c r="B10" s="138"/>
      <c r="C10" s="138"/>
      <c r="D10" s="138"/>
      <c r="E10" s="138"/>
      <c r="F10" s="140">
        <f>SUM(F9:H9)</f>
        <v>375</v>
      </c>
      <c r="G10" s="140"/>
      <c r="H10" s="140"/>
      <c r="I10" s="88"/>
    </row>
    <row r="11" spans="1:9" ht="22.8" customHeight="1" x14ac:dyDescent="0.25">
      <c r="A11" s="73"/>
      <c r="B11" s="73"/>
      <c r="C11" s="73"/>
      <c r="D11" s="73"/>
      <c r="E11" s="73"/>
      <c r="F11" s="73"/>
      <c r="G11" s="73"/>
      <c r="H11" s="73"/>
      <c r="I11" s="73"/>
    </row>
    <row r="12" spans="1:9" ht="22.8" customHeight="1" x14ac:dyDescent="0.25">
      <c r="A12" s="73"/>
      <c r="B12" s="73"/>
      <c r="C12" s="73"/>
      <c r="D12" s="73"/>
      <c r="E12" s="73"/>
      <c r="F12" s="73"/>
      <c r="G12" s="73"/>
      <c r="H12" s="73"/>
      <c r="I12" s="73"/>
    </row>
    <row r="13" spans="1:9" x14ac:dyDescent="0.3">
      <c r="A13" s="139" t="s">
        <v>2568</v>
      </c>
      <c r="B13" s="139"/>
      <c r="C13" s="139"/>
      <c r="D13" s="139"/>
      <c r="E13" s="70" t="s">
        <v>2543</v>
      </c>
      <c r="F13" s="72" t="s">
        <v>2359</v>
      </c>
      <c r="G13" s="72" t="s">
        <v>2358</v>
      </c>
      <c r="H13" s="72" t="s">
        <v>2567</v>
      </c>
      <c r="I13" s="70" t="s">
        <v>50</v>
      </c>
    </row>
    <row r="14" spans="1:9" s="94" customFormat="1" x14ac:dyDescent="0.25">
      <c r="A14" s="73" t="s">
        <v>2571</v>
      </c>
      <c r="B14" s="73"/>
      <c r="C14" s="75" t="s">
        <v>137</v>
      </c>
      <c r="D14" s="75"/>
      <c r="E14" s="74">
        <f>COUNTIFS('العاملين الأمانة العامة'!Y:Y,"تكليف",'العاملين الأمانة العامة'!BC:BC,"داخل الملاك")</f>
        <v>75</v>
      </c>
      <c r="F14" s="79">
        <f>COUNTIFS('العاملين الأمانة العامة'!BB:BB,"ضمن المبنى",'العاملين الأمانة العامة'!BC:BC,"داخل الملاك",'العاملين الأمانة العامة'!Y:Y,"تكليف")</f>
        <v>0</v>
      </c>
      <c r="G14" s="130">
        <f>COUNTIFS('العاملين الأمانة العامة'!BB:BB,"خارج المبنى",'العاملين الأمانة العامة'!BC:BC,"داخل الملاك",'العاملين الأمانة العامة'!Y:Y,"تكليف")</f>
        <v>75</v>
      </c>
      <c r="H14" s="141"/>
      <c r="I14" s="142" t="s">
        <v>2569</v>
      </c>
    </row>
    <row r="15" spans="1:9" x14ac:dyDescent="0.25">
      <c r="A15" s="73" t="s">
        <v>152</v>
      </c>
      <c r="B15" s="73"/>
      <c r="C15" s="74" t="s">
        <v>2545</v>
      </c>
      <c r="D15" s="74">
        <f>COUNTIFS('العاملين الأمانة العامة'!AC:AC,"مثبت",'العاملين الأمانة العامة'!Y:Y,A15,'العاملين الأمانة العامة'!BC:BC,"داخل الملاك")</f>
        <v>10</v>
      </c>
      <c r="E15" s="75">
        <f>SUM(D15:D16)</f>
        <v>19</v>
      </c>
      <c r="F15" s="76">
        <f>COUNTIFS('العاملين الأمانة العامة'!BB:BB,"ضمن المبنى",'العاملين الأمانة العامة'!Y:Y,A15,'العاملين الأمانة العامة'!BC:BC,"داخل الملاك")</f>
        <v>4</v>
      </c>
      <c r="G15" s="129">
        <f>COUNTIFS('العاملين الأمانة العامة'!BB:BB,"خارج المبنى",'العاملين الأمانة العامة'!Y:Y,A15,'العاملين الأمانة العامة'!BC:BC,"داخل الملاك")</f>
        <v>14</v>
      </c>
      <c r="H15" s="77">
        <f>COUNTIFS('العاملين الأمانة العامة'!AD:AD,"إجازة بلا أجر",'العاملين الأمانة العامة'!Y:Y,A15,'العاملين الأمانة العامة'!BC:BC,"داخل الملاك")</f>
        <v>1</v>
      </c>
      <c r="I15" s="143"/>
    </row>
    <row r="16" spans="1:9" x14ac:dyDescent="0.25">
      <c r="A16" s="73"/>
      <c r="B16" s="73"/>
      <c r="C16" s="74" t="s">
        <v>2547</v>
      </c>
      <c r="D16" s="74">
        <f>COUNTIFS('العاملين الأمانة العامة'!AC:AC,"متعاقد",'العاملين الأمانة العامة'!Y:Y,A15,'العاملين الأمانة العامة'!BC:BC,"داخل الملاك")</f>
        <v>9</v>
      </c>
      <c r="E16" s="75"/>
      <c r="F16" s="76"/>
      <c r="G16" s="129"/>
      <c r="H16" s="77"/>
      <c r="I16" s="144"/>
    </row>
    <row r="17" spans="1:8" s="96" customFormat="1" x14ac:dyDescent="0.3">
      <c r="A17" s="85"/>
      <c r="B17" s="85"/>
      <c r="C17" s="85"/>
      <c r="D17" s="85"/>
      <c r="E17" s="85"/>
      <c r="F17" s="85"/>
      <c r="G17" s="137">
        <f>SUM(G14:G16)</f>
        <v>89</v>
      </c>
      <c r="H17" s="85"/>
    </row>
  </sheetData>
  <mergeCells count="27">
    <mergeCell ref="H15:H16"/>
    <mergeCell ref="A14:B14"/>
    <mergeCell ref="C14:D14"/>
    <mergeCell ref="I14:I16"/>
    <mergeCell ref="A15:B16"/>
    <mergeCell ref="E15:E16"/>
    <mergeCell ref="F15:F16"/>
    <mergeCell ref="G15:G16"/>
    <mergeCell ref="A13:D13"/>
    <mergeCell ref="A9:E9"/>
    <mergeCell ref="A10:E10"/>
    <mergeCell ref="A11:I12"/>
    <mergeCell ref="F10:H10"/>
    <mergeCell ref="A5:B6"/>
    <mergeCell ref="E5:E6"/>
    <mergeCell ref="A7:B7"/>
    <mergeCell ref="C7:D7"/>
    <mergeCell ref="A8:B8"/>
    <mergeCell ref="C8:D8"/>
    <mergeCell ref="A1:I1"/>
    <mergeCell ref="A2:D2"/>
    <mergeCell ref="A3:B4"/>
    <mergeCell ref="E3:E4"/>
    <mergeCell ref="F3:F4"/>
    <mergeCell ref="G3:G4"/>
    <mergeCell ref="I3:I4"/>
    <mergeCell ref="H3:H4"/>
  </mergeCells>
  <pageMargins left="0.7" right="0.7" top="0.75" bottom="0.75" header="0.3" footer="0.3"/>
  <pageSetup paperSize="9" scale="8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6637-B987-4112-9871-2947FFDE7902}">
  <dimension ref="A1:I20"/>
  <sheetViews>
    <sheetView rightToLeft="1" zoomScale="85" zoomScaleNormal="85" workbookViewId="0">
      <selection activeCell="G5" sqref="G5:G6"/>
    </sheetView>
  </sheetViews>
  <sheetFormatPr defaultRowHeight="13.8" x14ac:dyDescent="0.25"/>
  <cols>
    <col min="1" max="1" width="8.796875" style="66"/>
    <col min="2" max="2" width="20.59765625" style="66" customWidth="1"/>
    <col min="3" max="5" width="8.796875" style="66"/>
    <col min="6" max="6" width="12.796875" style="66" customWidth="1"/>
    <col min="7" max="8" width="13.09765625" style="66" customWidth="1"/>
    <col min="9" max="9" width="49.3984375" style="66" customWidth="1"/>
    <col min="10" max="11" width="8.796875" style="66"/>
    <col min="12" max="12" width="3.8984375" style="66" customWidth="1"/>
    <col min="13" max="13" width="26.3984375" style="66" customWidth="1"/>
    <col min="14" max="14" width="11.69921875" style="66" customWidth="1"/>
    <col min="15" max="15" width="11.3984375" style="66" customWidth="1"/>
    <col min="16" max="16" width="14.19921875" style="66" customWidth="1"/>
    <col min="17" max="16384" width="8.796875" style="66"/>
  </cols>
  <sheetData>
    <row r="1" spans="1:9" s="103" customFormat="1" ht="22.8" x14ac:dyDescent="0.4">
      <c r="A1" s="100" t="s">
        <v>2564</v>
      </c>
      <c r="B1" s="101"/>
      <c r="C1" s="101"/>
      <c r="D1" s="101"/>
      <c r="E1" s="101"/>
      <c r="F1" s="101"/>
      <c r="G1" s="101"/>
      <c r="H1" s="101"/>
      <c r="I1" s="102"/>
    </row>
    <row r="2" spans="1:9" ht="22.2" customHeight="1" x14ac:dyDescent="0.3">
      <c r="A2" s="67"/>
      <c r="B2" s="68"/>
      <c r="C2" s="68"/>
      <c r="D2" s="69"/>
      <c r="E2" s="70" t="s">
        <v>2543</v>
      </c>
      <c r="F2" s="71" t="s">
        <v>2359</v>
      </c>
      <c r="G2" s="104" t="s">
        <v>2358</v>
      </c>
      <c r="H2" s="104"/>
      <c r="I2" s="70" t="s">
        <v>50</v>
      </c>
    </row>
    <row r="3" spans="1:9" ht="17.399999999999999" x14ac:dyDescent="0.25">
      <c r="A3" s="89" t="s">
        <v>2544</v>
      </c>
      <c r="B3" s="90"/>
      <c r="C3" s="80" t="s">
        <v>2545</v>
      </c>
      <c r="D3" s="80">
        <f>'احصائية 1'!D3-'احصائية 1'!D15</f>
        <v>199</v>
      </c>
      <c r="E3" s="95">
        <f>SUM(D3:D4)</f>
        <v>262</v>
      </c>
      <c r="F3" s="105">
        <f>'احصائية 1'!F3-'احصائية 1'!F15</f>
        <v>175</v>
      </c>
      <c r="G3" s="106">
        <f>'احصائية 1'!G3-'احصائية 1'!G15</f>
        <v>75</v>
      </c>
      <c r="H3" s="132"/>
      <c r="I3" s="95" t="s">
        <v>2561</v>
      </c>
    </row>
    <row r="4" spans="1:9" ht="17.399999999999999" x14ac:dyDescent="0.25">
      <c r="A4" s="91"/>
      <c r="B4" s="92"/>
      <c r="C4" s="107" t="s">
        <v>2547</v>
      </c>
      <c r="D4" s="107">
        <f>'احصائية 1'!D4-'احصائية 1'!D16</f>
        <v>63</v>
      </c>
      <c r="E4" s="97"/>
      <c r="F4" s="108"/>
      <c r="G4" s="109"/>
      <c r="H4" s="133"/>
      <c r="I4" s="97"/>
    </row>
    <row r="5" spans="1:9" ht="17.399999999999999" x14ac:dyDescent="0.25">
      <c r="A5" s="89" t="s">
        <v>152</v>
      </c>
      <c r="B5" s="90"/>
      <c r="C5" s="80" t="s">
        <v>2545</v>
      </c>
      <c r="D5" s="80">
        <v>10</v>
      </c>
      <c r="E5" s="95">
        <f>SUM(D5:D6)</f>
        <v>19</v>
      </c>
      <c r="F5" s="105">
        <f>'احصائية 1'!F15</f>
        <v>4</v>
      </c>
      <c r="G5" s="110">
        <f>'احصائية 1'!G15</f>
        <v>14</v>
      </c>
      <c r="H5" s="134"/>
      <c r="I5" s="95" t="s">
        <v>2562</v>
      </c>
    </row>
    <row r="6" spans="1:9" ht="17.399999999999999" x14ac:dyDescent="0.25">
      <c r="A6" s="91"/>
      <c r="B6" s="92"/>
      <c r="C6" s="107" t="s">
        <v>2547</v>
      </c>
      <c r="D6" s="107">
        <v>9</v>
      </c>
      <c r="E6" s="97"/>
      <c r="F6" s="108"/>
      <c r="G6" s="111"/>
      <c r="H6" s="135"/>
      <c r="I6" s="97"/>
    </row>
    <row r="7" spans="1:9" ht="17.399999999999999" x14ac:dyDescent="0.25">
      <c r="A7" s="89" t="s">
        <v>2548</v>
      </c>
      <c r="B7" s="90"/>
      <c r="C7" s="80" t="s">
        <v>137</v>
      </c>
      <c r="D7" s="80">
        <f>'احصائية 1'!D5</f>
        <v>81</v>
      </c>
      <c r="E7" s="95">
        <f>SUM(D7:D8)</f>
        <v>83</v>
      </c>
      <c r="F7" s="79">
        <f>'احصائية 1'!F5</f>
        <v>80</v>
      </c>
      <c r="G7" s="112">
        <f>'احصائية 1'!G5</f>
        <v>0</v>
      </c>
      <c r="H7" s="112"/>
      <c r="I7" s="74" t="s">
        <v>2549</v>
      </c>
    </row>
    <row r="8" spans="1:9" ht="17.399999999999999" x14ac:dyDescent="0.25">
      <c r="A8" s="91"/>
      <c r="B8" s="92"/>
      <c r="C8" s="107" t="s">
        <v>2550</v>
      </c>
      <c r="D8" s="107">
        <f>'احصائية 1'!D6</f>
        <v>2</v>
      </c>
      <c r="E8" s="97"/>
      <c r="F8" s="79">
        <f>'احصائية 1'!F6</f>
        <v>1</v>
      </c>
      <c r="G8" s="112">
        <f>'احصائية 1'!G6</f>
        <v>1</v>
      </c>
      <c r="H8" s="112"/>
      <c r="I8" s="74" t="s">
        <v>2551</v>
      </c>
    </row>
    <row r="9" spans="1:9" ht="17.399999999999999" x14ac:dyDescent="0.25">
      <c r="A9" s="81" t="s">
        <v>2552</v>
      </c>
      <c r="B9" s="82"/>
      <c r="C9" s="83"/>
      <c r="D9" s="84"/>
      <c r="E9" s="74"/>
      <c r="F9" s="86"/>
      <c r="G9" s="112">
        <f>'احصائية 1'!G7</f>
        <v>8</v>
      </c>
      <c r="H9" s="112"/>
      <c r="I9" s="74"/>
    </row>
    <row r="10" spans="1:9" ht="17.399999999999999" x14ac:dyDescent="0.3">
      <c r="A10" s="81" t="s">
        <v>1636</v>
      </c>
      <c r="B10" s="82"/>
      <c r="C10" s="67"/>
      <c r="D10" s="69"/>
      <c r="E10" s="74"/>
      <c r="F10" s="87"/>
      <c r="G10" s="112">
        <f>'احصائية 1'!G8</f>
        <v>3</v>
      </c>
      <c r="H10" s="112"/>
      <c r="I10" s="74"/>
    </row>
    <row r="11" spans="1:9" ht="27" customHeight="1" x14ac:dyDescent="0.25">
      <c r="A11" s="81" t="s">
        <v>2563</v>
      </c>
      <c r="B11" s="113"/>
      <c r="C11" s="113"/>
      <c r="D11" s="113"/>
      <c r="E11" s="82"/>
      <c r="F11" s="71">
        <f>SUM(F3:F10)</f>
        <v>260</v>
      </c>
      <c r="G11" s="104">
        <f>SUM(G3:G10)</f>
        <v>101</v>
      </c>
      <c r="H11" s="104"/>
      <c r="I11" s="70"/>
    </row>
    <row r="12" spans="1:9" ht="22.8" x14ac:dyDescent="0.25">
      <c r="A12" s="114" t="s">
        <v>2553</v>
      </c>
      <c r="B12" s="115"/>
      <c r="C12" s="115"/>
      <c r="D12" s="115"/>
      <c r="E12" s="116"/>
      <c r="F12" s="114">
        <f>SUM(F11:G11)</f>
        <v>361</v>
      </c>
      <c r="G12" s="116"/>
      <c r="H12" s="136"/>
      <c r="I12" s="88"/>
    </row>
    <row r="13" spans="1:9" ht="22.8" customHeight="1" x14ac:dyDescent="0.25">
      <c r="A13" s="117"/>
      <c r="B13" s="118"/>
      <c r="C13" s="118"/>
      <c r="D13" s="118"/>
      <c r="E13" s="118"/>
      <c r="F13" s="118"/>
      <c r="G13" s="118"/>
      <c r="H13" s="118"/>
      <c r="I13" s="119"/>
    </row>
    <row r="14" spans="1:9" ht="22.8" customHeight="1" x14ac:dyDescent="0.25">
      <c r="A14" s="120"/>
      <c r="B14" s="121"/>
      <c r="C14" s="121"/>
      <c r="D14" s="121"/>
      <c r="E14" s="121"/>
      <c r="F14" s="121"/>
      <c r="G14" s="121"/>
      <c r="H14" s="121"/>
      <c r="I14" s="122"/>
    </row>
    <row r="15" spans="1:9" ht="17.399999999999999" x14ac:dyDescent="0.25">
      <c r="A15" s="89" t="s">
        <v>2554</v>
      </c>
      <c r="B15" s="90"/>
      <c r="C15" s="123" t="s">
        <v>137</v>
      </c>
      <c r="D15" s="124"/>
      <c r="E15" s="93" t="e">
        <f>'احصائية 1'!#REF!</f>
        <v>#REF!</v>
      </c>
      <c r="F15" s="74" t="e">
        <f>'احصائية 1'!#REF!</f>
        <v>#REF!</v>
      </c>
      <c r="G15" s="74" t="e">
        <f>'احصائية 1'!#REF!</f>
        <v>#REF!</v>
      </c>
      <c r="H15" s="74"/>
      <c r="I15" s="74" t="s">
        <v>2555</v>
      </c>
    </row>
    <row r="16" spans="1:9" ht="17.399999999999999" x14ac:dyDescent="0.3">
      <c r="A16" s="81" t="s">
        <v>1573</v>
      </c>
      <c r="B16" s="82"/>
      <c r="C16" s="67"/>
      <c r="D16" s="69"/>
      <c r="E16" s="74" t="e">
        <f>'احصائية 1'!#REF!</f>
        <v>#REF!</v>
      </c>
      <c r="F16" s="125"/>
      <c r="G16" s="74" t="e">
        <f>'احصائية 1'!#REF!</f>
        <v>#REF!</v>
      </c>
      <c r="H16" s="74"/>
      <c r="I16" s="74" t="s">
        <v>2556</v>
      </c>
    </row>
    <row r="17" spans="1:9" ht="17.399999999999999" x14ac:dyDescent="0.3">
      <c r="A17" s="85"/>
      <c r="B17" s="85"/>
      <c r="C17" s="85"/>
      <c r="D17" s="85"/>
      <c r="E17" s="85"/>
      <c r="F17" s="85"/>
      <c r="G17" s="98" t="e">
        <f>SUM(G15:G16)</f>
        <v>#REF!</v>
      </c>
      <c r="H17" s="127"/>
      <c r="I17" s="96"/>
    </row>
    <row r="18" spans="1:9" ht="17.399999999999999" x14ac:dyDescent="0.3">
      <c r="A18" s="85"/>
      <c r="B18" s="85"/>
      <c r="C18" s="85"/>
      <c r="D18" s="85"/>
      <c r="E18" s="85"/>
      <c r="F18" s="85"/>
      <c r="G18" s="85"/>
      <c r="H18" s="85"/>
      <c r="I18" s="96"/>
    </row>
    <row r="19" spans="1:9" ht="17.399999999999999" x14ac:dyDescent="0.3">
      <c r="A19" s="85"/>
      <c r="B19" s="85"/>
      <c r="C19" s="85"/>
      <c r="D19" s="85"/>
      <c r="E19" s="85"/>
      <c r="F19" s="85"/>
      <c r="G19" s="85"/>
      <c r="H19" s="85"/>
      <c r="I19" s="96"/>
    </row>
    <row r="20" spans="1:9" ht="17.399999999999999" x14ac:dyDescent="0.3">
      <c r="A20" s="85"/>
      <c r="B20" s="85"/>
      <c r="C20" s="85"/>
      <c r="D20" s="85"/>
      <c r="E20" s="85"/>
      <c r="F20" s="85"/>
      <c r="G20" s="85"/>
      <c r="H20" s="85"/>
      <c r="I20" s="96"/>
    </row>
  </sheetData>
  <mergeCells count="26">
    <mergeCell ref="F12:G12"/>
    <mergeCell ref="A13:I14"/>
    <mergeCell ref="A15:B15"/>
    <mergeCell ref="C15:D15"/>
    <mergeCell ref="A16:B16"/>
    <mergeCell ref="C16:D16"/>
    <mergeCell ref="A9:B9"/>
    <mergeCell ref="C9:D9"/>
    <mergeCell ref="A10:B10"/>
    <mergeCell ref="C10:D10"/>
    <mergeCell ref="A11:E11"/>
    <mergeCell ref="A12:E12"/>
    <mergeCell ref="A5:B6"/>
    <mergeCell ref="E5:E6"/>
    <mergeCell ref="F5:F6"/>
    <mergeCell ref="G5:G6"/>
    <mergeCell ref="I5:I6"/>
    <mergeCell ref="A7:B8"/>
    <mergeCell ref="E7:E8"/>
    <mergeCell ref="A1:I1"/>
    <mergeCell ref="A2:D2"/>
    <mergeCell ref="A3:B4"/>
    <mergeCell ref="E3:E4"/>
    <mergeCell ref="F3:F4"/>
    <mergeCell ref="G3:G4"/>
    <mergeCell ref="I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العاملين الأمانة العامة</vt:lpstr>
      <vt:lpstr>احصائية 1</vt:lpstr>
      <vt:lpstr>احصائية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Ibrahim</dc:creator>
  <cp:lastModifiedBy>Ahmad Ibrahim</cp:lastModifiedBy>
  <cp:lastPrinted>2025-10-08T11:45:29Z</cp:lastPrinted>
  <dcterms:created xsi:type="dcterms:W3CDTF">2025-10-05T18:01:07Z</dcterms:created>
  <dcterms:modified xsi:type="dcterms:W3CDTF">2025-10-08T11:48:02Z</dcterms:modified>
</cp:coreProperties>
</file>